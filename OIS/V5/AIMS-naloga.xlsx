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<sst xmlns="http://schemas.openxmlformats.org/spreadsheetml/2006/main" count="48" uniqueCount="43">
  <si>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VARIABLES &amp; ASSUMPTIONS</t>
  </si>
  <si>
    <t xml:space="preserve">Financial</t>
  </si>
  <si>
    <t xml:space="preserve">Costs</t>
  </si>
  <si>
    <t xml:space="preserve">Cost of capital</t>
  </si>
  <si>
    <t xml:space="preserve">OR workstations</t>
  </si>
  <si>
    <t xml:space="preserve">OR software</t>
  </si>
  <si>
    <t xml:space="preserve">Hospital Operations</t>
  </si>
  <si>
    <t xml:space="preserve">Office work stations</t>
  </si>
  <si>
    <t xml:space="preserve">Revenue</t>
  </si>
  <si>
    <t xml:space="preserve">Office software</t>
  </si>
  <si>
    <t xml:space="preserve">OR Rev (% of total)</t>
  </si>
  <si>
    <t xml:space="preserve">Infrastructure</t>
  </si>
  <si>
    <t xml:space="preserve">Procedures</t>
  </si>
  <si>
    <t xml:space="preserve">Server</t>
  </si>
  <si>
    <t xml:space="preserve">Operating Rooms</t>
  </si>
  <si>
    <t xml:space="preserve">Consulting and Integration</t>
  </si>
  <si>
    <t xml:space="preserve">Office Locations</t>
  </si>
  <si>
    <t xml:space="preserve">Training</t>
  </si>
  <si>
    <t xml:space="preserve">People to be trained</t>
  </si>
  <si>
    <t xml:space="preserve">Total Costs</t>
  </si>
  <si>
    <t xml:space="preserve">Benefits</t>
  </si>
  <si>
    <t xml:space="preserve">Drug savings (/case)</t>
  </si>
  <si>
    <t xml:space="preserve">Savings in drug costs</t>
  </si>
  <si>
    <t xml:space="preserve">Other savings (/case)</t>
  </si>
  <si>
    <t xml:space="preserve">Other savings</t>
  </si>
  <si>
    <t xml:space="preserve">Increase in reimbursement</t>
  </si>
  <si>
    <t xml:space="preserve">Total Benefits</t>
  </si>
  <si>
    <t xml:space="preserve">Cost per workstation</t>
  </si>
  <si>
    <t xml:space="preserve">Operating room</t>
  </si>
  <si>
    <t xml:space="preserve">PROJECT CASH FLOW</t>
  </si>
  <si>
    <t xml:space="preserve">Office</t>
  </si>
  <si>
    <t xml:space="preserve">Cost of software (/workstation)</t>
  </si>
  <si>
    <t xml:space="preserve">NPV</t>
  </si>
  <si>
    <t xml:space="preserve">Cost of Infrastructure</t>
  </si>
  <si>
    <t xml:space="preserve">IRR</t>
  </si>
  <si>
    <t xml:space="preserve"> Cost of capital sensitivity</t>
  </si>
  <si>
    <t xml:space="preserve">Maintenance / year (%)</t>
  </si>
  <si>
    <t xml:space="preserve">Maintenance cost sensitivity</t>
  </si>
  <si>
    <t xml:space="preserve">Consulting (% of software)</t>
  </si>
  <si>
    <t xml:space="preserve">Maintenance cost sensitivty</t>
  </si>
  <si>
    <t xml:space="preserve">Cost of training/person</t>
  </si>
  <si>
    <t xml:space="preserve"> Total reveneue per operating room</t>
  </si>
  <si>
    <t xml:space="preserve">Procedures sensitivity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</si>
</sst>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0.00%"/>
    <numFmt numFmtId="167" formatCode="_(\$* #,##0_);_(\$* \(#,##0\);_(\$* \-??_);_(@_)"/>
    <numFmt numFmtId="168" formatCode="_(\$* #,##0.00_);_(\$* \(#,##0.00\);_(\$* \-??_);_(@_)"/>
    <numFmt numFmtId="169" formatCode="0.0%"/>
    <numFmt numFmtId="170" formatCode="#,##0.00"/>
    <numFmt numFmtId="171" formatCode="\$#,##0_);[RED]&quot;($&quot;#,##0\)"/>
    <numFmt numFmtId="172" formatCode="#,##0_);\(#,##0\)"/>
    <numFmt numFmtId="173" formatCode="[$$-409]#,##0;[RED][$$-409]#,##0"/>
    <numFmt numFmtId="174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238"/>
    </font>
    <font>
      <sz val="10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D9D9D9"/>
      </patternFill>
    </fill>
    <fill>
      <patternFill patternType="solid">
        <fgColor theme="0" tint="-0.05"/>
        <bgColor rgb="FFE2F0D9"/>
      </patternFill>
    </fill>
    <fill>
      <patternFill patternType="solid">
        <fgColor theme="0" tint="-0.15"/>
        <bgColor rgb="FFDAE3F3"/>
      </patternFill>
    </fill>
    <fill>
      <patternFill patternType="solid">
        <fgColor theme="0" tint="-0.35"/>
        <bgColor rgb="FF9999FF"/>
      </patternFill>
    </fill>
    <fill>
      <patternFill patternType="solid">
        <fgColor theme="8" tint="0.5999"/>
        <bgColor rgb="FF99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P10" activeCellId="0" sqref="P10"/>
    </sheetView>
  </sheetViews>
  <sheetFormatPr defaultColWidth="8.78125" defaultRowHeight="14.25" customHeight="false" zeroHeight="false" outlineLevelRow="0" outlineLevelCol="0"/>
  <cols>
    <col collapsed="false" customWidth="true" hidden="false" outlineLevel="0" max="1" min="1" style="0" width="0.45"/>
    <col collapsed="false" customWidth="true" hidden="false" outlineLevel="0" max="2" min="2" style="0" width="26"/>
    <col collapsed="false" customWidth="true" hidden="false" outlineLevel="0" max="5" min="3" style="0" width="13.33"/>
    <col collapsed="false" customWidth="true" hidden="false" outlineLevel="0" max="6" min="6" style="0" width="15"/>
    <col collapsed="false" customWidth="true" hidden="false" outlineLevel="0" max="13" min="7" style="0" width="13.33"/>
    <col collapsed="false" customWidth="true" hidden="false" outlineLevel="0" max="14" min="14" style="0" width="12.89"/>
    <col collapsed="false" customWidth="true" hidden="false" outlineLevel="0" max="15" min="15" style="0" width="29.44"/>
    <col collapsed="false" customWidth="true" hidden="false" outlineLevel="0" max="16" min="16" style="0" width="14"/>
    <col collapsed="false" customWidth="true" hidden="false" outlineLevel="0" max="17" min="17" style="0" width="10.78"/>
  </cols>
  <sheetData>
    <row r="1" customFormat="false" ht="14.25" hidden="false" customHeight="false" outlineLevel="0" collapsed="false">
      <c r="N1" s="1" t="s">
        <v>0</v>
      </c>
      <c r="O1" s="2"/>
      <c r="P1" s="2"/>
    </row>
    <row r="2" customFormat="false" ht="14.25" hidden="false" customHeight="false" outlineLevel="0" collapsed="false">
      <c r="B2" s="3"/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5" t="s">
        <v>1</v>
      </c>
      <c r="O2" s="2"/>
      <c r="P2" s="2"/>
    </row>
    <row r="3" customFormat="false" ht="17.35" hidden="false" customHeight="false" outlineLevel="0" collapsed="false">
      <c r="A3" s="6" t="s">
        <v>2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2"/>
      <c r="O3" s="2" t="s">
        <v>3</v>
      </c>
      <c r="P3" s="7" t="n">
        <v>0.07</v>
      </c>
    </row>
    <row r="4" customFormat="false" ht="14.25" hidden="false" customHeight="false" outlineLevel="0" collapsed="false">
      <c r="B4" s="3" t="s">
        <v>4</v>
      </c>
      <c r="C4" s="8" t="n">
        <f aca="false">-$P$9*$P$18</f>
        <v>-72000</v>
      </c>
      <c r="D4" s="8" t="n">
        <f aca="false">$C$4*$P$22</f>
        <v>-12960</v>
      </c>
      <c r="E4" s="8" t="n">
        <f aca="false">$C$4*$P$22</f>
        <v>-12960</v>
      </c>
      <c r="F4" s="8" t="n">
        <f aca="false">$C$4*$P$22</f>
        <v>-12960</v>
      </c>
      <c r="G4" s="8" t="n">
        <f aca="false">$C$4*$P$22</f>
        <v>-12960</v>
      </c>
      <c r="H4" s="8" t="n">
        <f aca="false">$C$4*$P$22</f>
        <v>-12960</v>
      </c>
      <c r="I4" s="8" t="n">
        <f aca="false">$C$4*$P$22</f>
        <v>-12960</v>
      </c>
      <c r="J4" s="8" t="n">
        <f aca="false">$C$4*$P$22</f>
        <v>-12960</v>
      </c>
      <c r="K4" s="8" t="n">
        <f aca="false">$C$4*$P$22</f>
        <v>-12960</v>
      </c>
      <c r="L4" s="8" t="n">
        <f aca="false">$C$4*$P$22</f>
        <v>-12960</v>
      </c>
      <c r="M4" s="8" t="n">
        <f aca="false">$C$4*$P$22</f>
        <v>-12960</v>
      </c>
      <c r="N4" s="2"/>
      <c r="O4" s="2"/>
      <c r="P4" s="7"/>
    </row>
    <row r="5" customFormat="false" ht="14.25" hidden="false" customHeight="false" outlineLevel="0" collapsed="false">
      <c r="B5" s="3" t="s">
        <v>5</v>
      </c>
      <c r="C5" s="8" t="n">
        <f aca="false">-$P$9*$P$20</f>
        <v>-90000</v>
      </c>
      <c r="D5" s="8" t="n">
        <f aca="false">$C$5*$P$22</f>
        <v>-16200</v>
      </c>
      <c r="E5" s="8" t="n">
        <f aca="false">$C$5*$P$22</f>
        <v>-16200</v>
      </c>
      <c r="F5" s="8" t="n">
        <f aca="false">$C$5*$P$22</f>
        <v>-16200</v>
      </c>
      <c r="G5" s="8" t="n">
        <f aca="false">$C$5*$P$22</f>
        <v>-16200</v>
      </c>
      <c r="H5" s="8" t="n">
        <f aca="false">$C$5*$P$22</f>
        <v>-16200</v>
      </c>
      <c r="I5" s="8" t="n">
        <f aca="false">$C$5*$P$22</f>
        <v>-16200</v>
      </c>
      <c r="J5" s="8" t="n">
        <f aca="false">$C$5*$P$22</f>
        <v>-16200</v>
      </c>
      <c r="K5" s="8" t="n">
        <f aca="false">$C$5*$P$22</f>
        <v>-16200</v>
      </c>
      <c r="L5" s="8" t="n">
        <f aca="false">$C$5*$P$22</f>
        <v>-16200</v>
      </c>
      <c r="M5" s="8" t="n">
        <f aca="false">$C$5*$P$22</f>
        <v>-16200</v>
      </c>
      <c r="N5" s="5" t="s">
        <v>6</v>
      </c>
      <c r="O5" s="2"/>
      <c r="P5" s="2"/>
    </row>
    <row r="6" customFormat="false" ht="14.25" hidden="false" customHeight="false" outlineLevel="0" collapsed="false">
      <c r="B6" s="3" t="s">
        <v>7</v>
      </c>
      <c r="C6" s="8" t="n">
        <f aca="false">-$P$10*$P$19</f>
        <v>-15000</v>
      </c>
      <c r="D6" s="8" t="n">
        <f aca="false">$C$6*$P$22</f>
        <v>-2700</v>
      </c>
      <c r="E6" s="8" t="n">
        <f aca="false">$C$6*$P$22</f>
        <v>-2700</v>
      </c>
      <c r="F6" s="8" t="n">
        <f aca="false">$C$6*$P$22</f>
        <v>-2700</v>
      </c>
      <c r="G6" s="8" t="n">
        <f aca="false">$C$6*$P$22</f>
        <v>-2700</v>
      </c>
      <c r="H6" s="8" t="n">
        <f aca="false">$C$6*$P$22</f>
        <v>-2700</v>
      </c>
      <c r="I6" s="8" t="n">
        <f aca="false">$C$6*$P$22</f>
        <v>-2700</v>
      </c>
      <c r="J6" s="8" t="n">
        <f aca="false">$C$6*$P$22</f>
        <v>-2700</v>
      </c>
      <c r="K6" s="8" t="n">
        <f aca="false">$C$6*$P$22</f>
        <v>-2700</v>
      </c>
      <c r="L6" s="8" t="n">
        <f aca="false">$C$6*$P$22</f>
        <v>-2700</v>
      </c>
      <c r="M6" s="8" t="n">
        <f aca="false">$C$6*$P$22</f>
        <v>-2700</v>
      </c>
      <c r="N6" s="2"/>
      <c r="O6" s="2" t="s">
        <v>8</v>
      </c>
      <c r="P6" s="9" t="n">
        <v>71901048</v>
      </c>
    </row>
    <row r="7" customFormat="false" ht="14.25" hidden="false" customHeight="false" outlineLevel="0" collapsed="false">
      <c r="B7" s="3" t="s">
        <v>9</v>
      </c>
      <c r="C7" s="8" t="n">
        <f aca="false">-$P$10*$P$20</f>
        <v>-30000</v>
      </c>
      <c r="D7" s="8" t="n">
        <f aca="false">$C$7*$P$22</f>
        <v>-5400</v>
      </c>
      <c r="E7" s="8" t="n">
        <f aca="false">$C$7*$P$22</f>
        <v>-5400</v>
      </c>
      <c r="F7" s="8" t="n">
        <f aca="false">$C$7*$P$22</f>
        <v>-5400</v>
      </c>
      <c r="G7" s="8" t="n">
        <f aca="false">$C$7*$P$22</f>
        <v>-5400</v>
      </c>
      <c r="H7" s="8" t="n">
        <f aca="false">$C$7*$P$22</f>
        <v>-5400</v>
      </c>
      <c r="I7" s="8" t="n">
        <f aca="false">$C$7*$P$22</f>
        <v>-5400</v>
      </c>
      <c r="J7" s="8" t="n">
        <f aca="false">$C$7*$P$22</f>
        <v>-5400</v>
      </c>
      <c r="K7" s="8" t="n">
        <f aca="false">$C$7*$P$22</f>
        <v>-5400</v>
      </c>
      <c r="L7" s="8" t="n">
        <f aca="false">$C$7*$P$22</f>
        <v>-5400</v>
      </c>
      <c r="M7" s="8" t="n">
        <f aca="false">$C$7*$P$22</f>
        <v>-5400</v>
      </c>
      <c r="N7" s="2"/>
      <c r="O7" s="2" t="s">
        <v>10</v>
      </c>
      <c r="P7" s="10" t="n">
        <v>0.4</v>
      </c>
    </row>
    <row r="8" customFormat="false" ht="14.25" hidden="false" customHeight="false" outlineLevel="0" collapsed="false">
      <c r="B8" s="3" t="s">
        <v>11</v>
      </c>
      <c r="C8" s="8" t="n">
        <f aca="false">-$P$21</f>
        <v>-15000</v>
      </c>
      <c r="D8" s="8" t="n">
        <f aca="false">$C$8*$P$22</f>
        <v>-2700</v>
      </c>
      <c r="E8" s="8" t="n">
        <f aca="false">$C$8*$P$22</f>
        <v>-2700</v>
      </c>
      <c r="F8" s="8" t="n">
        <f aca="false">$C$8*$P$22</f>
        <v>-2700</v>
      </c>
      <c r="G8" s="8" t="n">
        <f aca="false">$C$8*$P$22</f>
        <v>-2700</v>
      </c>
      <c r="H8" s="8" t="n">
        <f aca="false">$C$8*$P$22</f>
        <v>-2700</v>
      </c>
      <c r="I8" s="8" t="n">
        <f aca="false">$C$8*$P$22</f>
        <v>-2700</v>
      </c>
      <c r="J8" s="8" t="n">
        <f aca="false">$C$8*$P$22</f>
        <v>-2700</v>
      </c>
      <c r="K8" s="8" t="n">
        <f aca="false">$C$8*$P$22</f>
        <v>-2700</v>
      </c>
      <c r="L8" s="8" t="n">
        <f aca="false">$C$8*$P$22</f>
        <v>-2700</v>
      </c>
      <c r="M8" s="8" t="n">
        <f aca="false">$C$8*$P$22</f>
        <v>-2700</v>
      </c>
      <c r="N8" s="2"/>
      <c r="O8" s="2" t="s">
        <v>12</v>
      </c>
      <c r="P8" s="2" t="n">
        <v>9200</v>
      </c>
    </row>
    <row r="9" customFormat="false" ht="14.25" hidden="false" customHeight="false" outlineLevel="0" collapsed="false">
      <c r="B9" s="3" t="s">
        <v>13</v>
      </c>
      <c r="C9" s="8" t="n">
        <f aca="false">-$P$25</f>
        <v>-32000</v>
      </c>
      <c r="D9" s="8" t="n">
        <f aca="false">$C$9*$P$22</f>
        <v>-5760</v>
      </c>
      <c r="E9" s="8" t="n">
        <f aca="false">$C$9*$P$22</f>
        <v>-5760</v>
      </c>
      <c r="F9" s="8" t="n">
        <f aca="false">$C$9*$P$22</f>
        <v>-5760</v>
      </c>
      <c r="G9" s="8" t="n">
        <f aca="false">$C$9*$P$22</f>
        <v>-5760</v>
      </c>
      <c r="H9" s="8" t="n">
        <f aca="false">$C$9*$P$22</f>
        <v>-5760</v>
      </c>
      <c r="I9" s="8" t="n">
        <f aca="false">$C$9*$P$22</f>
        <v>-5760</v>
      </c>
      <c r="J9" s="8" t="n">
        <f aca="false">$C$9*$P$22</f>
        <v>-5760</v>
      </c>
      <c r="K9" s="8" t="n">
        <f aca="false">$C$9*$P$22</f>
        <v>-5760</v>
      </c>
      <c r="L9" s="8" t="n">
        <f aca="false">$C$9*$P$22</f>
        <v>-5760</v>
      </c>
      <c r="M9" s="8" t="n">
        <f aca="false">$C$9*$P$22</f>
        <v>-5760</v>
      </c>
      <c r="N9" s="2"/>
      <c r="O9" s="2" t="s">
        <v>14</v>
      </c>
      <c r="P9" s="2" t="n">
        <v>9</v>
      </c>
    </row>
    <row r="10" customFormat="false" ht="14.25" hidden="false" customHeight="false" outlineLevel="0" collapsed="false">
      <c r="B10" s="3" t="s">
        <v>15</v>
      </c>
      <c r="C10" s="8" t="n">
        <f aca="false">(C5+C7)*$P$23</f>
        <v>-240000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2"/>
      <c r="O10" s="2" t="s">
        <v>16</v>
      </c>
      <c r="P10" s="2" t="n">
        <v>3</v>
      </c>
    </row>
    <row r="11" customFormat="false" ht="14.25" hidden="false" customHeight="false" outlineLevel="0" collapsed="false">
      <c r="B11" s="3" t="s">
        <v>17</v>
      </c>
      <c r="C11" s="8" t="n">
        <f aca="false">-$P$11*$P$24</f>
        <v>-100000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2"/>
      <c r="O11" s="2" t="s">
        <v>18</v>
      </c>
      <c r="P11" s="2" t="n">
        <v>100</v>
      </c>
    </row>
    <row r="12" customFormat="false" ht="15" hidden="false" customHeight="false" outlineLevel="0" collapsed="false">
      <c r="A12" s="11"/>
      <c r="B12" s="12" t="s">
        <v>19</v>
      </c>
      <c r="C12" s="13" t="n">
        <f aca="false">SUM(C4:C11)</f>
        <v>-594000</v>
      </c>
      <c r="D12" s="13" t="n">
        <f aca="false">SUM(D4:D11)</f>
        <v>-45720</v>
      </c>
      <c r="E12" s="13" t="n">
        <f aca="false">SUM(E4:E11)</f>
        <v>-45720</v>
      </c>
      <c r="F12" s="13" t="n">
        <f aca="false">SUM(F4:F11)</f>
        <v>-45720</v>
      </c>
      <c r="G12" s="13" t="n">
        <f aca="false">SUM(G4:G11)</f>
        <v>-45720</v>
      </c>
      <c r="H12" s="13" t="n">
        <f aca="false">SUM(H4:H11)</f>
        <v>-45720</v>
      </c>
      <c r="I12" s="13" t="n">
        <f aca="false">SUM(I4:I11)</f>
        <v>-45720</v>
      </c>
      <c r="J12" s="13" t="n">
        <f aca="false">SUM(J4:J11)</f>
        <v>-45720</v>
      </c>
      <c r="K12" s="13" t="n">
        <f aca="false">SUM(K4:K11)</f>
        <v>-45720</v>
      </c>
      <c r="L12" s="13" t="n">
        <f aca="false">SUM(L4:L11)</f>
        <v>-45720</v>
      </c>
      <c r="M12" s="13" t="n">
        <f aca="false">SUM(M4:M11)</f>
        <v>-45720</v>
      </c>
      <c r="N12" s="5" t="s">
        <v>20</v>
      </c>
      <c r="O12" s="2"/>
      <c r="P12" s="2"/>
    </row>
    <row r="13" customFormat="false" ht="17.35" hidden="false" customHeight="false" outlineLevel="0" collapsed="false">
      <c r="A13" s="6" t="s">
        <v>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2"/>
      <c r="O13" s="2" t="s">
        <v>21</v>
      </c>
      <c r="P13" s="14" t="n">
        <v>32</v>
      </c>
    </row>
    <row r="14" customFormat="false" ht="14.25" hidden="false" customHeight="false" outlineLevel="0" collapsed="false">
      <c r="B14" s="3" t="s">
        <v>22</v>
      </c>
      <c r="C14" s="8"/>
      <c r="D14" s="8" t="n">
        <f aca="false">$P$8*$P$13</f>
        <v>294400</v>
      </c>
      <c r="E14" s="8" t="n">
        <f aca="false">$P$8*$P$13</f>
        <v>294400</v>
      </c>
      <c r="F14" s="8" t="n">
        <f aca="false">$P$8*$P$13</f>
        <v>294400</v>
      </c>
      <c r="G14" s="8" t="n">
        <f aca="false">$P$8*$P$13</f>
        <v>294400</v>
      </c>
      <c r="H14" s="8" t="n">
        <f aca="false">$P$8*$P$13</f>
        <v>294400</v>
      </c>
      <c r="I14" s="8" t="n">
        <f aca="false">$P$8*$P$13</f>
        <v>294400</v>
      </c>
      <c r="J14" s="8" t="n">
        <f aca="false">$P$8*$P$13</f>
        <v>294400</v>
      </c>
      <c r="K14" s="8" t="n">
        <f aca="false">$P$8*$P$13</f>
        <v>294400</v>
      </c>
      <c r="L14" s="8" t="n">
        <f aca="false">$P$8*$P$13</f>
        <v>294400</v>
      </c>
      <c r="M14" s="8" t="n">
        <f aca="false">$P$8*$P$13</f>
        <v>294400</v>
      </c>
      <c r="N14" s="2"/>
      <c r="O14" s="2" t="s">
        <v>23</v>
      </c>
      <c r="P14" s="14" t="n">
        <v>100</v>
      </c>
    </row>
    <row r="15" customFormat="false" ht="14.25" hidden="false" customHeight="false" outlineLevel="0" collapsed="false">
      <c r="B15" s="3" t="s">
        <v>24</v>
      </c>
      <c r="C15" s="8"/>
      <c r="D15" s="8" t="n">
        <f aca="false">$P$8*$P$14</f>
        <v>920000</v>
      </c>
      <c r="E15" s="8" t="n">
        <f aca="false">$P$8*$P$14</f>
        <v>920000</v>
      </c>
      <c r="F15" s="8" t="n">
        <f aca="false">$P$8*$P$14</f>
        <v>920000</v>
      </c>
      <c r="G15" s="8" t="n">
        <f aca="false">$P$8*$P$14</f>
        <v>920000</v>
      </c>
      <c r="H15" s="8" t="n">
        <f aca="false">$P$8*$P$14</f>
        <v>920000</v>
      </c>
      <c r="I15" s="8" t="n">
        <f aca="false">$P$8*$P$14</f>
        <v>920000</v>
      </c>
      <c r="J15" s="8" t="n">
        <f aca="false">$P$8*$P$14</f>
        <v>920000</v>
      </c>
      <c r="K15" s="8" t="n">
        <f aca="false">$P$8*$P$14</f>
        <v>920000</v>
      </c>
      <c r="L15" s="8" t="n">
        <f aca="false">$P$8*$P$14</f>
        <v>920000</v>
      </c>
      <c r="M15" s="8" t="n">
        <f aca="false">$P$8*$P$14</f>
        <v>920000</v>
      </c>
      <c r="N15" s="2"/>
      <c r="O15" s="2" t="s">
        <v>25</v>
      </c>
      <c r="P15" s="10" t="n">
        <v>0.015</v>
      </c>
    </row>
    <row r="16" customFormat="false" ht="14.25" hidden="false" customHeight="false" outlineLevel="0" collapsed="false">
      <c r="B16" s="3" t="s">
        <v>25</v>
      </c>
      <c r="C16" s="8"/>
      <c r="D16" s="8" t="n">
        <f aca="false">$P$6*$P$7*$P$15</f>
        <v>431406.288</v>
      </c>
      <c r="E16" s="8" t="n">
        <f aca="false">$P$6*$P$7*$P$15</f>
        <v>431406.288</v>
      </c>
      <c r="F16" s="8" t="n">
        <f aca="false">$P$6*$P$7*$P$15</f>
        <v>431406.288</v>
      </c>
      <c r="G16" s="8" t="n">
        <f aca="false">$P$6*$P$7*$P$15</f>
        <v>431406.288</v>
      </c>
      <c r="H16" s="8" t="n">
        <f aca="false">$P$6*$P$7*$P$15</f>
        <v>431406.288</v>
      </c>
      <c r="I16" s="8" t="n">
        <f aca="false">$P$6*$P$7*$P$15</f>
        <v>431406.288</v>
      </c>
      <c r="J16" s="8" t="n">
        <f aca="false">$P$6*$P$7*$P$15</f>
        <v>431406.288</v>
      </c>
      <c r="K16" s="8" t="n">
        <f aca="false">$P$6*$P$7*$P$15</f>
        <v>431406.288</v>
      </c>
      <c r="L16" s="8" t="n">
        <f aca="false">$P$6*$P$7*$P$15</f>
        <v>431406.288</v>
      </c>
      <c r="M16" s="8" t="n">
        <f aca="false">$P$6*$P$7*$P$15</f>
        <v>431406.288</v>
      </c>
      <c r="N16" s="5" t="s">
        <v>2</v>
      </c>
      <c r="O16" s="2"/>
      <c r="P16" s="2"/>
    </row>
    <row r="17" customFormat="false" ht="15" hidden="false" customHeight="false" outlineLevel="0" collapsed="false">
      <c r="A17" s="15"/>
      <c r="B17" s="12" t="s">
        <v>26</v>
      </c>
      <c r="C17" s="13"/>
      <c r="D17" s="13" t="n">
        <f aca="false">SUM(D14:D16)</f>
        <v>1645806.288</v>
      </c>
      <c r="E17" s="13" t="n">
        <f aca="false">SUM(E14:E16)</f>
        <v>1645806.288</v>
      </c>
      <c r="F17" s="13" t="n">
        <f aca="false">SUM(F14:F16)</f>
        <v>1645806.288</v>
      </c>
      <c r="G17" s="13" t="n">
        <f aca="false">SUM(G14:G16)</f>
        <v>1645806.288</v>
      </c>
      <c r="H17" s="13" t="n">
        <f aca="false">SUM(H14:H16)</f>
        <v>1645806.288</v>
      </c>
      <c r="I17" s="13" t="n">
        <f aca="false">SUM(I14:I16)</f>
        <v>1645806.288</v>
      </c>
      <c r="J17" s="13" t="n">
        <f aca="false">SUM(J14:J16)</f>
        <v>1645806.288</v>
      </c>
      <c r="K17" s="13" t="n">
        <f aca="false">SUM(K14:K16)</f>
        <v>1645806.288</v>
      </c>
      <c r="L17" s="13" t="n">
        <f aca="false">SUM(L14:L16)</f>
        <v>1645806.288</v>
      </c>
      <c r="M17" s="13" t="n">
        <f aca="false">SUM(M14:M16)</f>
        <v>1645806.288</v>
      </c>
      <c r="N17" s="2"/>
      <c r="O17" s="2" t="s">
        <v>27</v>
      </c>
      <c r="P17" s="9"/>
      <c r="Q17" s="16"/>
    </row>
    <row r="18" customFormat="false" ht="14.25" hidden="false" customHeight="false" outlineLevel="0" collapsed="false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"/>
      <c r="O18" s="17" t="s">
        <v>28</v>
      </c>
      <c r="P18" s="9" t="n">
        <v>8000</v>
      </c>
      <c r="Q18" s="18"/>
    </row>
    <row r="19" customFormat="false" ht="17.35" hidden="false" customHeight="false" outlineLevel="0" collapsed="false">
      <c r="A19" s="19" t="s">
        <v>29</v>
      </c>
      <c r="B19" s="3"/>
      <c r="C19" s="13" t="n">
        <f aca="false">C12</f>
        <v>-594000</v>
      </c>
      <c r="D19" s="13" t="n">
        <f aca="false">D12+D17</f>
        <v>1600086.288</v>
      </c>
      <c r="E19" s="13" t="n">
        <f aca="false">E12+E17</f>
        <v>1600086.288</v>
      </c>
      <c r="F19" s="13" t="n">
        <f aca="false">F12+F17</f>
        <v>1600086.288</v>
      </c>
      <c r="G19" s="13" t="n">
        <f aca="false">G12+G17</f>
        <v>1600086.288</v>
      </c>
      <c r="H19" s="13" t="n">
        <f aca="false">H12+H17</f>
        <v>1600086.288</v>
      </c>
      <c r="I19" s="13" t="n">
        <f aca="false">I12+I17</f>
        <v>1600086.288</v>
      </c>
      <c r="J19" s="13" t="n">
        <f aca="false">J12+J17</f>
        <v>1600086.288</v>
      </c>
      <c r="K19" s="13" t="n">
        <f aca="false">K12+K17</f>
        <v>1600086.288</v>
      </c>
      <c r="L19" s="13" t="n">
        <f aca="false">L12+L17</f>
        <v>1600086.288</v>
      </c>
      <c r="M19" s="13" t="n">
        <f aca="false">M12+M17</f>
        <v>1600086.288</v>
      </c>
      <c r="N19" s="2"/>
      <c r="O19" s="17" t="s">
        <v>30</v>
      </c>
      <c r="P19" s="9" t="n">
        <v>5000</v>
      </c>
    </row>
    <row r="20" customFormat="false" ht="14.25" hidden="false" customHeight="false" outlineLevel="0" collapsed="false">
      <c r="C20" s="18"/>
      <c r="N20" s="2"/>
      <c r="O20" s="2" t="s">
        <v>31</v>
      </c>
      <c r="P20" s="9" t="n">
        <v>10000</v>
      </c>
    </row>
    <row r="21" customFormat="false" ht="14.25" hidden="false" customHeight="false" outlineLevel="0" collapsed="false">
      <c r="B21" s="20" t="s">
        <v>32</v>
      </c>
      <c r="C21" s="21" t="n">
        <f aca="false">C12 + NPV(P3,D19:M19)</f>
        <v>10644336.5162962</v>
      </c>
      <c r="E21" s="22"/>
      <c r="F21" s="23"/>
      <c r="G21" s="18"/>
      <c r="I21" s="18"/>
      <c r="N21" s="2"/>
      <c r="O21" s="2" t="s">
        <v>33</v>
      </c>
      <c r="P21" s="9" t="n">
        <v>15000</v>
      </c>
    </row>
    <row r="22" customFormat="false" ht="15" hidden="false" customHeight="true" outlineLevel="0" collapsed="false">
      <c r="B22" s="20" t="s">
        <v>34</v>
      </c>
      <c r="C22" s="24" t="n">
        <f aca="false">IRR(C19:M19)</f>
        <v>2.69374226200753</v>
      </c>
      <c r="G22" s="18"/>
      <c r="H22" s="25"/>
      <c r="I22" s="26"/>
      <c r="J22" s="27" t="s">
        <v>35</v>
      </c>
      <c r="K22" s="27"/>
      <c r="L22" s="27"/>
      <c r="M22" s="27"/>
      <c r="N22" s="2"/>
      <c r="O22" s="2" t="s">
        <v>36</v>
      </c>
      <c r="P22" s="28" t="n">
        <v>0.18</v>
      </c>
    </row>
    <row r="23" customFormat="false" ht="31.3" hidden="false" customHeight="false" outlineLevel="0" collapsed="false">
      <c r="E23" s="29" t="s">
        <v>37</v>
      </c>
      <c r="F23" s="30" t="n">
        <f aca="false">C21</f>
        <v>10644336.5162962</v>
      </c>
      <c r="G23" s="18"/>
      <c r="H23" s="31"/>
      <c r="I23" s="32" t="n">
        <f aca="false">C21</f>
        <v>10644336.5162962</v>
      </c>
      <c r="J23" s="33" t="n">
        <v>0.07</v>
      </c>
      <c r="K23" s="33" t="n">
        <v>0.1</v>
      </c>
      <c r="L23" s="33" t="n">
        <v>0.12</v>
      </c>
      <c r="M23" s="34" t="n">
        <v>0.15</v>
      </c>
      <c r="N23" s="2"/>
      <c r="O23" s="2" t="s">
        <v>38</v>
      </c>
      <c r="P23" s="28" t="n">
        <v>2</v>
      </c>
    </row>
    <row r="24" customFormat="false" ht="31.5" hidden="false" customHeight="true" outlineLevel="0" collapsed="false">
      <c r="D24" s="18"/>
      <c r="E24" s="35" t="n">
        <v>0.15</v>
      </c>
      <c r="F24" s="36" t="n">
        <f aca="true">TABLE(F$23,$P$22,$E24)</f>
        <v>10697856.2076381</v>
      </c>
      <c r="G24" s="18"/>
      <c r="H24" s="37" t="s">
        <v>39</v>
      </c>
      <c r="I24" s="33" t="n">
        <v>0.15</v>
      </c>
      <c r="J24" s="32" t="n">
        <f aca="true">TABLE($I$23,$P$22,$I24,$P$3,J$23)</f>
        <v>10697856.2076381</v>
      </c>
      <c r="K24" s="32" t="n">
        <f aca="true">TABLE($I$23,$P$22,$I24,$P$3,K$23)</f>
        <v>9284659.17287937</v>
      </c>
      <c r="L24" s="32" t="n">
        <f aca="true">TABLE($I$23,$P$22,$I24,$P$3,L$23)</f>
        <v>8489899.09137855</v>
      </c>
      <c r="M24" s="38" t="n">
        <f aca="true">TABLE($I$23,$P$22,$I24,$P$3,M$23)</f>
        <v>7474705.87780297</v>
      </c>
      <c r="N24" s="2"/>
      <c r="O24" s="2" t="s">
        <v>40</v>
      </c>
      <c r="P24" s="9" t="n">
        <v>1000</v>
      </c>
    </row>
    <row r="25" customFormat="false" ht="14.25" hidden="false" customHeight="false" outlineLevel="0" collapsed="false">
      <c r="C25" s="39"/>
      <c r="D25" s="40"/>
      <c r="E25" s="35" t="n">
        <v>0.18</v>
      </c>
      <c r="F25" s="36" t="n">
        <f aca="true">TABLE(F$23,$P$22,$E25)</f>
        <v>10644336.5162962</v>
      </c>
      <c r="G25" s="18"/>
      <c r="H25" s="37"/>
      <c r="I25" s="33" t="n">
        <v>0.18</v>
      </c>
      <c r="J25" s="32" t="n">
        <f aca="true">TABLE($I$23,$P$22,$I25,$P$3,J$23)</f>
        <v>10644336.5162962</v>
      </c>
      <c r="K25" s="32" t="n">
        <f aca="true">TABLE($I$23,$P$22,$I25,$P$3,K$23)</f>
        <v>9237837.57153391</v>
      </c>
      <c r="L25" s="32" t="n">
        <f aca="true">TABLE($I$23,$P$22,$I25,$P$3,L$23)</f>
        <v>8446844.39190206</v>
      </c>
      <c r="M25" s="38" t="n">
        <f aca="true">TABLE($I$23,$P$22,$I25,$P$3,M$23)</f>
        <v>7436462.86087396</v>
      </c>
      <c r="N25" s="2"/>
      <c r="O25" s="2" t="s">
        <v>13</v>
      </c>
      <c r="P25" s="41" t="n">
        <v>32000</v>
      </c>
    </row>
    <row r="26" customFormat="false" ht="14.25" hidden="false" customHeight="false" outlineLevel="0" collapsed="false">
      <c r="C26" s="39"/>
      <c r="D26" s="40"/>
      <c r="E26" s="35" t="n">
        <v>0.2</v>
      </c>
      <c r="F26" s="36" t="n">
        <f aca="true">TABLE(F$23,$P$22,$E26)</f>
        <v>10608656.7220682</v>
      </c>
      <c r="G26" s="18"/>
      <c r="H26" s="37"/>
      <c r="I26" s="33" t="n">
        <v>0.2</v>
      </c>
      <c r="J26" s="32" t="n">
        <f aca="true">TABLE($I$23,$P$22,$I26,$P$3,J$23)</f>
        <v>10608656.7220682</v>
      </c>
      <c r="K26" s="32" t="n">
        <f aca="true">TABLE($I$23,$P$22,$I26,$P$3,K$23)</f>
        <v>9206623.17063692</v>
      </c>
      <c r="L26" s="32" t="n">
        <f aca="true">TABLE($I$23,$P$22,$I26,$P$3,L$23)</f>
        <v>8418141.25891773</v>
      </c>
      <c r="M26" s="38" t="n">
        <f aca="true">TABLE($I$23,$P$22,$I26,$P$3,M$23)</f>
        <v>7410967.51625462</v>
      </c>
    </row>
    <row r="27" customFormat="false" ht="14.25" hidden="false" customHeight="false" outlineLevel="0" collapsed="false">
      <c r="C27" s="39"/>
      <c r="D27" s="40"/>
      <c r="E27" s="35" t="n">
        <v>0.25</v>
      </c>
      <c r="F27" s="36" t="n">
        <f aca="true">TABLE(F$23,$P$22,$E27)</f>
        <v>10519457.2364984</v>
      </c>
      <c r="G27" s="40"/>
      <c r="H27" s="37"/>
      <c r="I27" s="33" t="n">
        <v>0.25</v>
      </c>
      <c r="J27" s="32" t="n">
        <f aca="true">TABLE($I$23,$P$22,$I27,$P$3,J$23)</f>
        <v>10519457.2364984</v>
      </c>
      <c r="K27" s="32" t="n">
        <f aca="true">TABLE($I$23,$P$22,$I27,$P$3,K$23)</f>
        <v>9128587.16839448</v>
      </c>
      <c r="L27" s="32" t="n">
        <f aca="true">TABLE($I$23,$P$22,$I27,$P$3,L$23)</f>
        <v>8346383.42645691</v>
      </c>
      <c r="M27" s="38" t="n">
        <f aca="true">TABLE($I$23,$P$22,$I27,$P$3,M$23)</f>
        <v>7347229.15470627</v>
      </c>
    </row>
    <row r="28" customFormat="false" ht="14.25" hidden="false" customHeight="false" outlineLevel="0" collapsed="false">
      <c r="C28" s="39"/>
      <c r="D28" s="40"/>
      <c r="E28" s="42" t="n">
        <v>0.3</v>
      </c>
      <c r="F28" s="43" t="n">
        <f aca="true">TABLE(F$23,$P$22,$E28)</f>
        <v>10430257.7509285</v>
      </c>
      <c r="G28" s="40"/>
      <c r="H28" s="37"/>
      <c r="I28" s="44" t="n">
        <v>0.3</v>
      </c>
      <c r="J28" s="45" t="n">
        <f aca="true">TABLE($I$23,$P$22,$I28,$P$3,J$23)</f>
        <v>10430257.7509285</v>
      </c>
      <c r="K28" s="45" t="n">
        <f aca="true">TABLE($I$23,$P$22,$I28,$P$3,K$23)</f>
        <v>9050551.16615203</v>
      </c>
      <c r="L28" s="45" t="n">
        <f aca="true">TABLE($I$23,$P$22,$I28,$P$3,L$23)</f>
        <v>8274625.59399609</v>
      </c>
      <c r="M28" s="43" t="n">
        <f aca="true">TABLE($I$23,$P$22,$I28,$P$3,M$23)</f>
        <v>7283490.79315792</v>
      </c>
    </row>
    <row r="29" customFormat="false" ht="14.25" hidden="false" customHeight="false" outlineLevel="0" collapsed="false">
      <c r="C29" s="39"/>
      <c r="D29" s="40"/>
      <c r="E29" s="18"/>
      <c r="F29" s="39"/>
      <c r="G29" s="40"/>
      <c r="H29" s="18"/>
      <c r="I29" s="18"/>
      <c r="J29" s="18"/>
      <c r="K29" s="18"/>
      <c r="L29" s="18"/>
      <c r="M29" s="18"/>
    </row>
    <row r="30" customFormat="false" ht="31.3" hidden="false" customHeight="false" outlineLevel="0" collapsed="false">
      <c r="C30" s="39"/>
      <c r="D30" s="40"/>
      <c r="E30" s="29" t="s">
        <v>37</v>
      </c>
      <c r="F30" s="30" t="n">
        <f aca="false">C21</f>
        <v>10644336.5162962</v>
      </c>
      <c r="G30" s="40"/>
      <c r="H30" s="25"/>
      <c r="I30" s="26"/>
      <c r="J30" s="27" t="s">
        <v>41</v>
      </c>
      <c r="K30" s="27"/>
      <c r="L30" s="27"/>
      <c r="M30" s="27"/>
      <c r="N30" s="27"/>
      <c r="O30" s="27"/>
      <c r="P30" s="27"/>
      <c r="Q30" s="27"/>
    </row>
    <row r="31" customFormat="false" ht="14.25" hidden="false" customHeight="false" outlineLevel="0" collapsed="false">
      <c r="E31" s="35" t="n">
        <v>0.3</v>
      </c>
      <c r="F31" s="38" t="n">
        <f aca="true">TABLE(F$30,$P$22,$E31)</f>
        <v>10430257.7509285</v>
      </c>
      <c r="G31" s="39"/>
      <c r="H31" s="31"/>
      <c r="I31" s="32" t="n">
        <f aca="false">$C$21</f>
        <v>10644336.5162962</v>
      </c>
      <c r="J31" s="33" t="n">
        <v>0.4</v>
      </c>
      <c r="K31" s="33" t="n">
        <f aca="false">J31/150%</f>
        <v>0.266666666666667</v>
      </c>
      <c r="L31" s="33" t="n">
        <f aca="false">K31/150%</f>
        <v>0.177777777777778</v>
      </c>
      <c r="M31" s="33" t="n">
        <f aca="false">L31/150%</f>
        <v>0.118518518518519</v>
      </c>
      <c r="N31" s="33" t="n">
        <f aca="false">M31/150%</f>
        <v>0.0790123456790123</v>
      </c>
      <c r="O31" s="33" t="n">
        <f aca="false">N31/150%</f>
        <v>0.0526748971193416</v>
      </c>
      <c r="P31" s="33" t="n">
        <f aca="false">O31/150%</f>
        <v>0.035116598079561</v>
      </c>
      <c r="Q31" s="34" t="n">
        <f aca="false">P31/150%</f>
        <v>0.023411065386374</v>
      </c>
    </row>
    <row r="32" customFormat="false" ht="14.25" hidden="false" customHeight="true" outlineLevel="0" collapsed="false">
      <c r="C32" s="18"/>
      <c r="E32" s="35" t="n">
        <v>0.31</v>
      </c>
      <c r="F32" s="38" t="n">
        <f aca="true">TABLE(F$30,$P$22,$E32)</f>
        <v>10412417.8538146</v>
      </c>
      <c r="H32" s="46" t="s">
        <v>42</v>
      </c>
      <c r="I32" s="47" t="n">
        <v>9200</v>
      </c>
      <c r="J32" s="48" t="n">
        <f aca="true">TABLE($I$31,$P$8,$I32,$P$7,J$31)</f>
        <v>10644336.5162962</v>
      </c>
      <c r="K32" s="48" t="n">
        <f aca="true">TABLE($I$31,$P$8,$I32,$P$7,K$31)</f>
        <v>9634330.76928315</v>
      </c>
      <c r="L32" s="48" t="n">
        <f aca="true">TABLE($I$31,$P$8,$I32,$P$7,L$31)</f>
        <v>8960993.6046078</v>
      </c>
      <c r="M32" s="48" t="n">
        <f aca="true">TABLE($I$31,$P$8,$I32,$P$7,M$31)</f>
        <v>8512102.1614909</v>
      </c>
      <c r="N32" s="48" t="n">
        <f aca="true">TABLE($I$31,$P$8,$I32,$P$7,N$31)</f>
        <v>8212841.19941297</v>
      </c>
      <c r="O32" s="48" t="n">
        <f aca="true">TABLE($I$31,$P$8,$I32,$P$7,O$31)</f>
        <v>8013333.89136102</v>
      </c>
      <c r="P32" s="48" t="n">
        <f aca="true">TABLE($I$31,$P$8,$I32,$P$7,P$31)</f>
        <v>7880329.01932638</v>
      </c>
      <c r="Q32" s="49" t="n">
        <f aca="true">TABLE($I$31,$P$8,$I32,$P$7,Q$31)</f>
        <v>7791659.10463663</v>
      </c>
    </row>
    <row r="33" customFormat="false" ht="14.25" hidden="false" customHeight="false" outlineLevel="0" collapsed="false">
      <c r="C33" s="18"/>
      <c r="E33" s="35" t="n">
        <v>0.32</v>
      </c>
      <c r="F33" s="38" t="n">
        <f aca="true">TABLE(F$30,$P$22,$E33)</f>
        <v>10394577.9567006</v>
      </c>
      <c r="H33" s="46"/>
      <c r="I33" s="47" t="n">
        <f aca="false">I32/120%</f>
        <v>7666.66666666667</v>
      </c>
      <c r="J33" s="48" t="n">
        <f aca="true">TABLE($I$31,$P$8,$I33,$P$7,J$31)</f>
        <v>9222763.61241141</v>
      </c>
      <c r="K33" s="48" t="n">
        <f aca="true">TABLE($I$31,$P$8,$I33,$P$7,K$31)</f>
        <v>8212757.86539839</v>
      </c>
      <c r="L33" s="48" t="n">
        <f aca="true">TABLE($I$31,$P$8,$I33,$P$7,L$31)</f>
        <v>7539420.70072304</v>
      </c>
      <c r="M33" s="48" t="n">
        <f aca="true">TABLE($I$31,$P$8,$I33,$P$7,M$31)</f>
        <v>7090529.25760615</v>
      </c>
      <c r="N33" s="48" t="n">
        <f aca="true">TABLE($I$31,$P$8,$I33,$P$7,N$31)</f>
        <v>6791268.29552822</v>
      </c>
      <c r="O33" s="48" t="n">
        <f aca="true">TABLE($I$31,$P$8,$I33,$P$7,O$31)</f>
        <v>6591760.98747626</v>
      </c>
      <c r="P33" s="48" t="n">
        <f aca="true">TABLE($I$31,$P$8,$I33,$P$7,P$31)</f>
        <v>6458756.11544163</v>
      </c>
      <c r="Q33" s="49" t="n">
        <f aca="true">TABLE($I$31,$P$8,$I33,$P$7,Q$31)</f>
        <v>6370086.20075187</v>
      </c>
    </row>
    <row r="34" customFormat="false" ht="14.25" hidden="false" customHeight="false" outlineLevel="0" collapsed="false">
      <c r="D34" s="50"/>
      <c r="E34" s="35" t="n">
        <v>0.33</v>
      </c>
      <c r="F34" s="38" t="n">
        <f aca="true">TABLE(F$30,$P$22,$E34)</f>
        <v>10376738.0595866</v>
      </c>
      <c r="G34" s="50"/>
      <c r="H34" s="46"/>
      <c r="I34" s="47" t="n">
        <f aca="false">I33/120%</f>
        <v>6388.88888888889</v>
      </c>
      <c r="J34" s="48" t="n">
        <f aca="true">TABLE($I$31,$P$8,$I34,$P$7,J$31)</f>
        <v>8038119.52584077</v>
      </c>
      <c r="K34" s="48" t="n">
        <f aca="true">TABLE($I$31,$P$8,$I34,$P$7,K$31)</f>
        <v>7028113.77882776</v>
      </c>
      <c r="L34" s="48" t="n">
        <f aca="true">TABLE($I$31,$P$8,$I34,$P$7,L$31)</f>
        <v>6354776.61415241</v>
      </c>
      <c r="M34" s="48" t="n">
        <f aca="true">TABLE($I$31,$P$8,$I34,$P$7,M$31)</f>
        <v>5905885.17103552</v>
      </c>
      <c r="N34" s="48" t="n">
        <f aca="true">TABLE($I$31,$P$8,$I34,$P$7,N$31)</f>
        <v>5606624.20895759</v>
      </c>
      <c r="O34" s="48" t="n">
        <f aca="true">TABLE($I$31,$P$8,$I34,$P$7,O$31)</f>
        <v>5407116.90090563</v>
      </c>
      <c r="P34" s="48" t="n">
        <f aca="true">TABLE($I$31,$P$8,$I34,$P$7,P$31)</f>
        <v>5274112.02887099</v>
      </c>
      <c r="Q34" s="49" t="n">
        <f aca="true">TABLE($I$31,$P$8,$I34,$P$7,Q$31)</f>
        <v>5185442.11418124</v>
      </c>
    </row>
    <row r="35" customFormat="false" ht="14.25" hidden="false" customHeight="false" outlineLevel="0" collapsed="false">
      <c r="D35" s="50"/>
      <c r="E35" s="35" t="n">
        <v>0.34</v>
      </c>
      <c r="F35" s="38" t="n">
        <f aca="true">TABLE(F$30,$P$22,$E35)</f>
        <v>10358898.1624727</v>
      </c>
      <c r="G35" s="50"/>
      <c r="H35" s="46"/>
      <c r="I35" s="47" t="n">
        <f aca="false">I34/120%</f>
        <v>5324.07407407408</v>
      </c>
      <c r="J35" s="48" t="n">
        <f aca="true">TABLE($I$31,$P$8,$I35,$P$7,J$31)</f>
        <v>7050916.12036525</v>
      </c>
      <c r="K35" s="48" t="n">
        <f aca="true">TABLE($I$31,$P$8,$I35,$P$7,K$31)</f>
        <v>6040910.37335223</v>
      </c>
      <c r="L35" s="48" t="n">
        <f aca="true">TABLE($I$31,$P$8,$I35,$P$7,L$31)</f>
        <v>5367573.20867689</v>
      </c>
      <c r="M35" s="48" t="n">
        <f aca="true">TABLE($I$31,$P$8,$I35,$P$7,M$31)</f>
        <v>4918681.76555999</v>
      </c>
      <c r="N35" s="48" t="n">
        <f aca="true">TABLE($I$31,$P$8,$I35,$P$7,N$31)</f>
        <v>4619420.80348206</v>
      </c>
      <c r="O35" s="48" t="n">
        <f aca="true">TABLE($I$31,$P$8,$I35,$P$7,O$31)</f>
        <v>4419913.4954301</v>
      </c>
      <c r="P35" s="48" t="n">
        <f aca="true">TABLE($I$31,$P$8,$I35,$P$7,P$31)</f>
        <v>4286908.62339547</v>
      </c>
      <c r="Q35" s="49" t="n">
        <f aca="true">TABLE($I$31,$P$8,$I35,$P$7,Q$31)</f>
        <v>4198238.70870571</v>
      </c>
    </row>
    <row r="36" customFormat="false" ht="14.25" hidden="false" customHeight="false" outlineLevel="0" collapsed="false">
      <c r="D36" s="50"/>
      <c r="E36" s="35" t="n">
        <v>0.35</v>
      </c>
      <c r="F36" s="38" t="n">
        <f aca="true">TABLE(F$30,$P$22,$E36)</f>
        <v>10341058.2653587</v>
      </c>
      <c r="G36" s="50"/>
      <c r="H36" s="46"/>
      <c r="I36" s="47" t="n">
        <f aca="false">I35/120%</f>
        <v>4436.72839506173</v>
      </c>
      <c r="J36" s="48" t="n">
        <f aca="true">TABLE($I$31,$P$8,$I36,$P$7,J$31)</f>
        <v>6228246.61580231</v>
      </c>
      <c r="K36" s="48" t="n">
        <f aca="true">TABLE($I$31,$P$8,$I36,$P$7,K$31)</f>
        <v>5218240.86878929</v>
      </c>
      <c r="L36" s="48" t="n">
        <f aca="true">TABLE($I$31,$P$8,$I36,$P$7,L$31)</f>
        <v>4544903.70411395</v>
      </c>
      <c r="M36" s="48" t="n">
        <f aca="true">TABLE($I$31,$P$8,$I36,$P$7,M$31)</f>
        <v>4096012.26099705</v>
      </c>
      <c r="N36" s="48" t="n">
        <f aca="true">TABLE($I$31,$P$8,$I36,$P$7,N$31)</f>
        <v>3796751.29891912</v>
      </c>
      <c r="O36" s="48" t="n">
        <f aca="true">TABLE($I$31,$P$8,$I36,$P$7,O$31)</f>
        <v>3597243.99086717</v>
      </c>
      <c r="P36" s="48" t="n">
        <f aca="true">TABLE($I$31,$P$8,$I36,$P$7,P$31)</f>
        <v>3464239.11883253</v>
      </c>
      <c r="Q36" s="49" t="n">
        <f aca="true">TABLE($I$31,$P$8,$I36,$P$7,Q$31)</f>
        <v>3375569.20414277</v>
      </c>
    </row>
    <row r="37" customFormat="false" ht="14.25" hidden="false" customHeight="false" outlineLevel="0" collapsed="false">
      <c r="D37" s="50"/>
      <c r="E37" s="35" t="n">
        <v>0.36</v>
      </c>
      <c r="F37" s="38" t="n">
        <f aca="true">TABLE(F$30,$P$22,$E37)</f>
        <v>10323218.3682447</v>
      </c>
      <c r="G37" s="50"/>
      <c r="H37" s="46"/>
      <c r="I37" s="47" t="n">
        <f aca="false">I36/120%</f>
        <v>3697.27366255144</v>
      </c>
      <c r="J37" s="48" t="n">
        <f aca="true">TABLE($I$31,$P$8,$I37,$P$7,J$31)</f>
        <v>5542688.69533319</v>
      </c>
      <c r="K37" s="48" t="n">
        <f aca="true">TABLE($I$31,$P$8,$I37,$P$7,K$31)</f>
        <v>4532682.94832018</v>
      </c>
      <c r="L37" s="48" t="n">
        <f aca="true">TABLE($I$31,$P$8,$I37,$P$7,L$31)</f>
        <v>3859345.78364483</v>
      </c>
      <c r="M37" s="48" t="n">
        <f aca="true">TABLE($I$31,$P$8,$I37,$P$7,M$31)</f>
        <v>3410454.34052793</v>
      </c>
      <c r="N37" s="48" t="n">
        <f aca="true">TABLE($I$31,$P$8,$I37,$P$7,N$31)</f>
        <v>3111193.37845</v>
      </c>
      <c r="O37" s="48" t="n">
        <f aca="true">TABLE($I$31,$P$8,$I37,$P$7,O$31)</f>
        <v>2911686.07039805</v>
      </c>
      <c r="P37" s="48" t="n">
        <f aca="true">TABLE($I$31,$P$8,$I37,$P$7,P$31)</f>
        <v>2778681.19836341</v>
      </c>
      <c r="Q37" s="49" t="n">
        <f aca="true">TABLE($I$31,$P$8,$I37,$P$7,Q$31)</f>
        <v>2690011.28367366</v>
      </c>
    </row>
    <row r="38" customFormat="false" ht="14.25" hidden="false" customHeight="false" outlineLevel="0" collapsed="false">
      <c r="D38" s="50"/>
      <c r="E38" s="35" t="n">
        <v>0.37</v>
      </c>
      <c r="F38" s="38" t="n">
        <f aca="true">TABLE(F$30,$P$22,$E38)</f>
        <v>10305378.4711308</v>
      </c>
      <c r="G38" s="50"/>
      <c r="H38" s="46"/>
      <c r="I38" s="47" t="n">
        <f aca="false">I37/120%</f>
        <v>3081.06138545953</v>
      </c>
      <c r="J38" s="48" t="n">
        <f aca="true">TABLE($I$31,$P$8,$I38,$P$7,J$31)</f>
        <v>4971390.4282756</v>
      </c>
      <c r="K38" s="48" t="n">
        <f aca="true">TABLE($I$31,$P$8,$I38,$P$7,K$31)</f>
        <v>3961384.68126258</v>
      </c>
      <c r="L38" s="48" t="n">
        <f aca="true">TABLE($I$31,$P$8,$I38,$P$7,L$31)</f>
        <v>3288047.51658723</v>
      </c>
      <c r="M38" s="48" t="n">
        <f aca="true">TABLE($I$31,$P$8,$I38,$P$7,M$31)</f>
        <v>2839156.07347034</v>
      </c>
      <c r="N38" s="48" t="n">
        <f aca="true">TABLE($I$31,$P$8,$I38,$P$7,N$31)</f>
        <v>2539895.11139241</v>
      </c>
      <c r="O38" s="48" t="n">
        <f aca="true">TABLE($I$31,$P$8,$I38,$P$7,O$31)</f>
        <v>2340387.80334045</v>
      </c>
      <c r="P38" s="48" t="n">
        <f aca="true">TABLE($I$31,$P$8,$I38,$P$7,P$31)</f>
        <v>2207382.93130582</v>
      </c>
      <c r="Q38" s="49" t="n">
        <f aca="true">TABLE($I$31,$P$8,$I38,$P$7,Q$31)</f>
        <v>2118713.01661606</v>
      </c>
    </row>
    <row r="39" customFormat="false" ht="14.25" hidden="false" customHeight="false" outlineLevel="0" collapsed="false">
      <c r="D39" s="50"/>
      <c r="E39" s="35" t="n">
        <v>0.38</v>
      </c>
      <c r="F39" s="38" t="n">
        <f aca="true">TABLE(F$30,$P$22,$E39)</f>
        <v>10287538.5740168</v>
      </c>
      <c r="G39" s="50"/>
      <c r="H39" s="46"/>
      <c r="I39" s="47" t="n">
        <f aca="false">I38/120%</f>
        <v>2567.55115454961</v>
      </c>
      <c r="J39" s="48" t="n">
        <f aca="true">TABLE($I$31,$P$8,$I39,$P$7,J$31)</f>
        <v>4495308.53906093</v>
      </c>
      <c r="K39" s="48" t="n">
        <f aca="true">TABLE($I$31,$P$8,$I39,$P$7,K$31)</f>
        <v>3485302.79204792</v>
      </c>
      <c r="L39" s="48" t="n">
        <f aca="true">TABLE($I$31,$P$8,$I39,$P$7,L$31)</f>
        <v>2811965.62737257</v>
      </c>
      <c r="M39" s="48" t="n">
        <f aca="true">TABLE($I$31,$P$8,$I39,$P$7,M$31)</f>
        <v>2363074.18425567</v>
      </c>
      <c r="N39" s="48" t="n">
        <f aca="true">TABLE($I$31,$P$8,$I39,$P$7,N$31)</f>
        <v>2063813.22217774</v>
      </c>
      <c r="O39" s="48" t="n">
        <f aca="true">TABLE($I$31,$P$8,$I39,$P$7,O$31)</f>
        <v>1864305.91412579</v>
      </c>
      <c r="P39" s="48" t="n">
        <f aca="true">TABLE($I$31,$P$8,$I39,$P$7,P$31)</f>
        <v>1731301.04209115</v>
      </c>
      <c r="Q39" s="49" t="n">
        <f aca="true">TABLE($I$31,$P$8,$I39,$P$7,Q$31)</f>
        <v>1642631.1274014</v>
      </c>
    </row>
    <row r="40" customFormat="false" ht="14.25" hidden="false" customHeight="false" outlineLevel="0" collapsed="false">
      <c r="E40" s="35" t="n">
        <v>0.39</v>
      </c>
      <c r="F40" s="38" t="n">
        <f aca="true">TABLE(F$30,$P$22,$E40)</f>
        <v>10269698.6769028</v>
      </c>
      <c r="H40" s="46"/>
      <c r="I40" s="47" t="n">
        <f aca="false">I39/120%</f>
        <v>2139.62596212468</v>
      </c>
      <c r="J40" s="48" t="n">
        <f aca="true">TABLE($I$31,$P$8,$I40,$P$7,J$31)</f>
        <v>4098573.63138205</v>
      </c>
      <c r="K40" s="48" t="n">
        <f aca="true">TABLE($I$31,$P$8,$I40,$P$7,K$31)</f>
        <v>3088567.88436903</v>
      </c>
      <c r="L40" s="48" t="n">
        <f aca="true">TABLE($I$31,$P$8,$I40,$P$7,L$31)</f>
        <v>2415230.71969368</v>
      </c>
      <c r="M40" s="48" t="n">
        <f aca="true">TABLE($I$31,$P$8,$I40,$P$7,M$31)</f>
        <v>1966339.27657679</v>
      </c>
      <c r="N40" s="48" t="n">
        <f aca="true">TABLE($I$31,$P$8,$I40,$P$7,N$31)</f>
        <v>1667078.31449886</v>
      </c>
      <c r="O40" s="48" t="n">
        <f aca="true">TABLE($I$31,$P$8,$I40,$P$7,O$31)</f>
        <v>1467571.0064469</v>
      </c>
      <c r="P40" s="48" t="n">
        <f aca="true">TABLE($I$31,$P$8,$I40,$P$7,P$31)</f>
        <v>1334566.13441227</v>
      </c>
      <c r="Q40" s="49" t="n">
        <f aca="true">TABLE($I$31,$P$8,$I40,$P$7,Q$31)</f>
        <v>1245896.21972251</v>
      </c>
    </row>
    <row r="41" customFormat="false" ht="14.25" hidden="false" customHeight="false" outlineLevel="0" collapsed="false">
      <c r="C41" s="18"/>
      <c r="E41" s="35" t="n">
        <v>0.4</v>
      </c>
      <c r="F41" s="38" t="n">
        <f aca="true">TABLE(F$30,$P$22,$E41)</f>
        <v>10251858.7797889</v>
      </c>
      <c r="H41" s="46"/>
      <c r="I41" s="47" t="n">
        <f aca="false">I40/120%</f>
        <v>1783.0216351039</v>
      </c>
      <c r="J41" s="48" t="n">
        <f aca="true">TABLE($I$31,$P$8,$I41,$P$7,J$31)</f>
        <v>3767961.20831631</v>
      </c>
      <c r="K41" s="48" t="n">
        <f aca="true">TABLE($I$31,$P$8,$I41,$P$7,K$31)</f>
        <v>2757955.46130329</v>
      </c>
      <c r="L41" s="48" t="n">
        <f aca="true">TABLE($I$31,$P$8,$I41,$P$7,L$31)</f>
        <v>2084618.29662795</v>
      </c>
      <c r="M41" s="48" t="n">
        <f aca="true">TABLE($I$31,$P$8,$I41,$P$7,M$31)</f>
        <v>1635726.85351105</v>
      </c>
      <c r="N41" s="48" t="n">
        <f aca="true">TABLE($I$31,$P$8,$I41,$P$7,N$31)</f>
        <v>1336465.89143312</v>
      </c>
      <c r="O41" s="48" t="n">
        <f aca="true">TABLE($I$31,$P$8,$I41,$P$7,O$31)</f>
        <v>1136958.58338116</v>
      </c>
      <c r="P41" s="48" t="n">
        <f aca="true">TABLE($I$31,$P$8,$I41,$P$7,P$31)</f>
        <v>1003953.71134653</v>
      </c>
      <c r="Q41" s="49" t="n">
        <f aca="true">TABLE($I$31,$P$8,$I41,$P$7,Q$31)</f>
        <v>915283.79665677</v>
      </c>
    </row>
    <row r="42" customFormat="false" ht="14.25" hidden="false" customHeight="false" outlineLevel="0" collapsed="false">
      <c r="E42" s="35" t="n">
        <v>0.41</v>
      </c>
      <c r="F42" s="38" t="n">
        <f aca="true">TABLE(F$30,$P$22,$E42)</f>
        <v>10234018.8826749</v>
      </c>
      <c r="H42" s="46"/>
      <c r="I42" s="47" t="n">
        <f aca="false">I41/120%</f>
        <v>1485.85136258658</v>
      </c>
      <c r="J42" s="48" t="n">
        <f aca="true">TABLE($I$31,$P$8,$I42,$P$7,J$31)</f>
        <v>3492450.85576153</v>
      </c>
      <c r="K42" s="48" t="n">
        <f aca="true">TABLE($I$31,$P$8,$I42,$P$7,K$31)</f>
        <v>2482445.10874851</v>
      </c>
      <c r="L42" s="48" t="n">
        <f aca="true">TABLE($I$31,$P$8,$I42,$P$7,L$31)</f>
        <v>1809107.94407316</v>
      </c>
      <c r="M42" s="48" t="n">
        <f aca="true">TABLE($I$31,$P$8,$I42,$P$7,M$31)</f>
        <v>1360216.50095627</v>
      </c>
      <c r="N42" s="48" t="n">
        <f aca="true">TABLE($I$31,$P$8,$I42,$P$7,N$31)</f>
        <v>1060955.53887834</v>
      </c>
      <c r="O42" s="48" t="n">
        <f aca="true">TABLE($I$31,$P$8,$I42,$P$7,O$31)</f>
        <v>861448.230826381</v>
      </c>
      <c r="P42" s="48" t="n">
        <f aca="true">TABLE($I$31,$P$8,$I42,$P$7,P$31)</f>
        <v>728443.358791745</v>
      </c>
      <c r="Q42" s="49" t="n">
        <f aca="true">TABLE($I$31,$P$8,$I42,$P$7,Q$31)</f>
        <v>639773.444101988</v>
      </c>
    </row>
    <row r="43" customFormat="false" ht="14.25" hidden="false" customHeight="false" outlineLevel="0" collapsed="false">
      <c r="E43" s="35" t="n">
        <v>0.42</v>
      </c>
      <c r="F43" s="38" t="n">
        <f aca="true">TABLE(F$30,$P$22,$E43)</f>
        <v>10216178.9855609</v>
      </c>
      <c r="H43" s="46"/>
      <c r="I43" s="47" t="n">
        <f aca="false">I42/120%</f>
        <v>1238.20946882215</v>
      </c>
      <c r="J43" s="48" t="n">
        <f aca="true">TABLE($I$31,$P$8,$I43,$P$7,J$31)</f>
        <v>3262858.89529921</v>
      </c>
      <c r="K43" s="48" t="n">
        <f aca="true">TABLE($I$31,$P$8,$I43,$P$7,K$31)</f>
        <v>2252853.14828619</v>
      </c>
      <c r="L43" s="48" t="n">
        <f aca="true">TABLE($I$31,$P$8,$I43,$P$7,L$31)</f>
        <v>1579515.98361085</v>
      </c>
      <c r="M43" s="48" t="n">
        <f aca="true">TABLE($I$31,$P$8,$I43,$P$7,M$31)</f>
        <v>1130624.54049395</v>
      </c>
      <c r="N43" s="48" t="n">
        <f aca="true">TABLE($I$31,$P$8,$I43,$P$7,N$31)</f>
        <v>831363.578416017</v>
      </c>
      <c r="O43" s="48" t="n">
        <f aca="true">TABLE($I$31,$P$8,$I43,$P$7,O$31)</f>
        <v>631856.270364063</v>
      </c>
      <c r="P43" s="48" t="n">
        <f aca="true">TABLE($I$31,$P$8,$I43,$P$7,P$31)</f>
        <v>498851.398329427</v>
      </c>
      <c r="Q43" s="49" t="n">
        <f aca="true">TABLE($I$31,$P$8,$I43,$P$7,Q$31)</f>
        <v>410181.483639669</v>
      </c>
    </row>
    <row r="44" customFormat="false" ht="14.25" hidden="false" customHeight="false" outlineLevel="0" collapsed="false">
      <c r="E44" s="35" t="n">
        <v>0.43</v>
      </c>
      <c r="F44" s="38" t="n">
        <f aca="true">TABLE(F$30,$P$22,$E44)</f>
        <v>10198339.0884469</v>
      </c>
      <c r="H44" s="46"/>
      <c r="I44" s="47" t="n">
        <f aca="false">I43/120%</f>
        <v>1031.84122401846</v>
      </c>
      <c r="J44" s="48" t="n">
        <f aca="true">TABLE($I$31,$P$8,$I44,$P$7,J$31)</f>
        <v>3071532.26158061</v>
      </c>
      <c r="K44" s="48" t="n">
        <f aca="true">TABLE($I$31,$P$8,$I44,$P$7,K$31)</f>
        <v>2061526.51456759</v>
      </c>
      <c r="L44" s="48" t="n">
        <f aca="true">TABLE($I$31,$P$8,$I44,$P$7,L$31)</f>
        <v>1388189.34989225</v>
      </c>
      <c r="M44" s="48" t="n">
        <f aca="true">TABLE($I$31,$P$8,$I44,$P$7,M$31)</f>
        <v>939297.906775349</v>
      </c>
      <c r="N44" s="48" t="n">
        <f aca="true">TABLE($I$31,$P$8,$I44,$P$7,N$31)</f>
        <v>640036.944697418</v>
      </c>
      <c r="O44" s="48" t="n">
        <f aca="true">TABLE($I$31,$P$8,$I44,$P$7,O$31)</f>
        <v>440529.636645464</v>
      </c>
      <c r="P44" s="48" t="n">
        <f aca="true">TABLE($I$31,$P$8,$I44,$P$7,P$31)</f>
        <v>307524.764610828</v>
      </c>
      <c r="Q44" s="49" t="n">
        <f aca="true">TABLE($I$31,$P$8,$I44,$P$7,Q$31)</f>
        <v>218854.84992107</v>
      </c>
    </row>
    <row r="45" customFormat="false" ht="14.25" hidden="false" customHeight="false" outlineLevel="0" collapsed="false">
      <c r="E45" s="35" t="n">
        <v>0.44</v>
      </c>
      <c r="F45" s="38" t="n">
        <f aca="true">TABLE(F$30,$P$22,$E45)</f>
        <v>10180499.191333</v>
      </c>
      <c r="H45" s="46"/>
      <c r="I45" s="47" t="n">
        <f aca="false">I44/120%</f>
        <v>859.86768668205</v>
      </c>
      <c r="J45" s="48" t="n">
        <f aca="true">TABLE($I$31,$P$8,$I45,$P$7,J$31)</f>
        <v>2912093.40014844</v>
      </c>
      <c r="K45" s="48" t="n">
        <f aca="true">TABLE($I$31,$P$8,$I45,$P$7,K$31)</f>
        <v>1902087.65313543</v>
      </c>
      <c r="L45" s="48" t="n">
        <f aca="true">TABLE($I$31,$P$8,$I45,$P$7,L$31)</f>
        <v>1228750.48846008</v>
      </c>
      <c r="M45" s="48" t="n">
        <f aca="true">TABLE($I$31,$P$8,$I45,$P$7,M$31)</f>
        <v>779859.045343183</v>
      </c>
      <c r="N45" s="48" t="n">
        <f aca="true">TABLE($I$31,$P$8,$I45,$P$7,N$31)</f>
        <v>480598.083265252</v>
      </c>
      <c r="O45" s="48" t="n">
        <f aca="true">TABLE($I$31,$P$8,$I45,$P$7,O$31)</f>
        <v>281090.775213298</v>
      </c>
      <c r="P45" s="48" t="n">
        <f aca="true">TABLE($I$31,$P$8,$I45,$P$7,P$31)</f>
        <v>148085.903178662</v>
      </c>
      <c r="Q45" s="49" t="n">
        <f aca="true">TABLE($I$31,$P$8,$I45,$P$7,Q$31)</f>
        <v>59415.9884889047</v>
      </c>
    </row>
    <row r="46" customFormat="false" ht="14.25" hidden="false" customHeight="false" outlineLevel="0" collapsed="false">
      <c r="E46" s="35" t="n">
        <v>0.45</v>
      </c>
      <c r="F46" s="38" t="n">
        <f aca="true">TABLE(F$30,$P$22,$E46)</f>
        <v>10162659.294219</v>
      </c>
      <c r="H46" s="46"/>
      <c r="I46" s="47" t="n">
        <f aca="false">I45/120%</f>
        <v>716.556405568375</v>
      </c>
      <c r="J46" s="48" t="n">
        <f aca="true">TABLE($I$31,$P$8,$I46,$P$7,J$31)</f>
        <v>2779227.68228831</v>
      </c>
      <c r="K46" s="48" t="n">
        <f aca="true">TABLE($I$31,$P$8,$I46,$P$7,K$31)</f>
        <v>1769221.93527529</v>
      </c>
      <c r="L46" s="48" t="n">
        <f aca="true">TABLE($I$31,$P$8,$I46,$P$7,L$31)</f>
        <v>1095884.77059994</v>
      </c>
      <c r="M46" s="48" t="n">
        <f aca="true">TABLE($I$31,$P$8,$I46,$P$7,M$31)</f>
        <v>646993.327483045</v>
      </c>
      <c r="N46" s="48" t="n">
        <f aca="true">TABLE($I$31,$P$8,$I46,$P$7,N$31)</f>
        <v>347732.365405114</v>
      </c>
      <c r="O46" s="48" t="n">
        <f aca="true">TABLE($I$31,$P$8,$I46,$P$7,O$31)</f>
        <v>148225.05735316</v>
      </c>
      <c r="P46" s="48" t="n">
        <f aca="true">TABLE($I$31,$P$8,$I46,$P$7,P$31)</f>
        <v>15220.1853185243</v>
      </c>
      <c r="Q46" s="49" t="n">
        <f aca="true">TABLE($I$31,$P$8,$I46,$P$7,Q$31)</f>
        <v>-73449.7293712333</v>
      </c>
    </row>
    <row r="47" customFormat="false" ht="14.25" hidden="false" customHeight="false" outlineLevel="0" collapsed="false">
      <c r="E47" s="35" t="n">
        <v>0.46</v>
      </c>
      <c r="F47" s="38" t="n">
        <f aca="true">TABLE(F$30,$P$22,$E47)</f>
        <v>10144819.397105</v>
      </c>
      <c r="H47" s="46"/>
      <c r="I47" s="47" t="n">
        <f aca="false">I46/120%</f>
        <v>597.130337973646</v>
      </c>
      <c r="J47" s="48" t="n">
        <f aca="true">TABLE($I$31,$P$8,$I47,$P$7,J$31)</f>
        <v>2668506.25073819</v>
      </c>
      <c r="K47" s="48" t="n">
        <f aca="true">TABLE($I$31,$P$8,$I47,$P$7,K$31)</f>
        <v>1658500.50372517</v>
      </c>
      <c r="L47" s="48" t="n">
        <f aca="true">TABLE($I$31,$P$8,$I47,$P$7,L$31)</f>
        <v>985163.339049827</v>
      </c>
      <c r="M47" s="48" t="n">
        <f aca="true">TABLE($I$31,$P$8,$I47,$P$7,M$31)</f>
        <v>536271.89593293</v>
      </c>
      <c r="N47" s="48" t="n">
        <f aca="true">TABLE($I$31,$P$8,$I47,$P$7,N$31)</f>
        <v>237010.933854999</v>
      </c>
      <c r="O47" s="48" t="n">
        <f aca="true">TABLE($I$31,$P$8,$I47,$P$7,O$31)</f>
        <v>37503.6258030452</v>
      </c>
      <c r="P47" s="48" t="n">
        <f aca="true">TABLE($I$31,$P$8,$I47,$P$7,P$31)</f>
        <v>-95501.2462315909</v>
      </c>
      <c r="Q47" s="49" t="n">
        <f aca="true">TABLE($I$31,$P$8,$I47,$P$7,Q$31)</f>
        <v>-184171.160921348</v>
      </c>
    </row>
    <row r="48" customFormat="false" ht="14.25" hidden="false" customHeight="false" outlineLevel="0" collapsed="false">
      <c r="E48" s="35" t="n">
        <v>0.47</v>
      </c>
      <c r="F48" s="38" t="n">
        <f aca="true">TABLE(F$30,$P$22,$E48)</f>
        <v>10126979.4999911</v>
      </c>
      <c r="H48" s="46"/>
      <c r="I48" s="47" t="n">
        <f aca="false">I47/120%</f>
        <v>497.608614978038</v>
      </c>
      <c r="J48" s="48" t="n">
        <f aca="true">TABLE($I$31,$P$8,$I48,$P$7,J$31)</f>
        <v>2576238.39111309</v>
      </c>
      <c r="K48" s="48" t="n">
        <f aca="true">TABLE($I$31,$P$8,$I48,$P$7,K$31)</f>
        <v>1566232.64410008</v>
      </c>
      <c r="L48" s="48" t="n">
        <f aca="true">TABLE($I$31,$P$8,$I48,$P$7,L$31)</f>
        <v>892895.479424732</v>
      </c>
      <c r="M48" s="48" t="n">
        <f aca="true">TABLE($I$31,$P$8,$I48,$P$7,M$31)</f>
        <v>444004.036307835</v>
      </c>
      <c r="N48" s="48" t="n">
        <f aca="true">TABLE($I$31,$P$8,$I48,$P$7,N$31)</f>
        <v>144743.074229904</v>
      </c>
      <c r="O48" s="48" t="n">
        <f aca="true">TABLE($I$31,$P$8,$I48,$P$7,O$31)</f>
        <v>-54764.2338220506</v>
      </c>
      <c r="P48" s="48" t="n">
        <f aca="true">TABLE($I$31,$P$8,$I48,$P$7,P$31)</f>
        <v>-187769.105856687</v>
      </c>
      <c r="Q48" s="49" t="n">
        <f aca="true">TABLE($I$31,$P$8,$I48,$P$7,Q$31)</f>
        <v>-276439.020546444</v>
      </c>
    </row>
    <row r="49" customFormat="false" ht="14.25" hidden="false" customHeight="false" outlineLevel="0" collapsed="false">
      <c r="E49" s="35" t="n">
        <v>0.48</v>
      </c>
      <c r="F49" s="38" t="n">
        <f aca="true">TABLE(F$30,$P$22,$E49)</f>
        <v>10109139.6028771</v>
      </c>
      <c r="H49" s="46"/>
      <c r="I49" s="47" t="n">
        <f aca="false">I48/120%</f>
        <v>414.673845815032</v>
      </c>
      <c r="J49" s="48" t="n">
        <f aca="true">TABLE($I$31,$P$8,$I49,$P$7,J$31)</f>
        <v>2499348.50809218</v>
      </c>
      <c r="K49" s="48" t="n">
        <f aca="true">TABLE($I$31,$P$8,$I49,$P$7,K$31)</f>
        <v>1489342.76107916</v>
      </c>
      <c r="L49" s="48" t="n">
        <f aca="true">TABLE($I$31,$P$8,$I49,$P$7,L$31)</f>
        <v>816005.596403818</v>
      </c>
      <c r="M49" s="48" t="n">
        <f aca="true">TABLE($I$31,$P$8,$I49,$P$7,M$31)</f>
        <v>367114.153286921</v>
      </c>
      <c r="N49" s="48" t="n">
        <f aca="true">TABLE($I$31,$P$8,$I49,$P$7,N$31)</f>
        <v>67853.1912089903</v>
      </c>
      <c r="O49" s="48" t="n">
        <f aca="true">TABLE($I$31,$P$8,$I49,$P$7,O$31)</f>
        <v>-131654.116842964</v>
      </c>
      <c r="P49" s="48" t="n">
        <f aca="true">TABLE($I$31,$P$8,$I49,$P$7,P$31)</f>
        <v>-264658.9888776</v>
      </c>
      <c r="Q49" s="49" t="n">
        <f aca="true">TABLE($I$31,$P$8,$I49,$P$7,Q$31)</f>
        <v>-353328.903567357</v>
      </c>
    </row>
    <row r="50" customFormat="false" ht="14.25" hidden="false" customHeight="false" outlineLevel="0" collapsed="false">
      <c r="E50" s="35" t="n">
        <v>0.49</v>
      </c>
      <c r="F50" s="38" t="n">
        <f aca="true">TABLE(F$30,$P$22,$E50)</f>
        <v>10091299.7057631</v>
      </c>
      <c r="H50" s="46"/>
      <c r="I50" s="47" t="n">
        <f aca="false">I49/120%</f>
        <v>345.561538179193</v>
      </c>
      <c r="J50" s="48" t="n">
        <f aca="true">TABLE($I$31,$P$8,$I50,$P$7,J$31)</f>
        <v>2435273.60557475</v>
      </c>
      <c r="K50" s="48" t="n">
        <f aca="true">TABLE($I$31,$P$8,$I50,$P$7,K$31)</f>
        <v>1425267.85856174</v>
      </c>
      <c r="L50" s="48" t="n">
        <f aca="true">TABLE($I$31,$P$8,$I50,$P$7,L$31)</f>
        <v>751930.69388639</v>
      </c>
      <c r="M50" s="48" t="n">
        <f aca="true">TABLE($I$31,$P$8,$I50,$P$7,M$31)</f>
        <v>303039.250769494</v>
      </c>
      <c r="N50" s="48" t="n">
        <f aca="true">TABLE($I$31,$P$8,$I50,$P$7,N$31)</f>
        <v>3778.28869156248</v>
      </c>
      <c r="O50" s="48" t="n">
        <f aca="true">TABLE($I$31,$P$8,$I50,$P$7,O$31)</f>
        <v>-195729.019360392</v>
      </c>
      <c r="P50" s="48" t="n">
        <f aca="true">TABLE($I$31,$P$8,$I50,$P$7,P$31)</f>
        <v>-328733.891395028</v>
      </c>
      <c r="Q50" s="49" t="n">
        <f aca="true">TABLE($I$31,$P$8,$I50,$P$7,Q$31)</f>
        <v>-417403.806084785</v>
      </c>
    </row>
    <row r="51" customFormat="false" ht="14.25" hidden="false" customHeight="false" outlineLevel="0" collapsed="false">
      <c r="E51" s="35" t="n">
        <v>0.5</v>
      </c>
      <c r="F51" s="38" t="n">
        <f aca="true">TABLE(F$30,$P$22,$E51)</f>
        <v>10073459.8086492</v>
      </c>
      <c r="H51" s="46"/>
      <c r="I51" s="51" t="n">
        <f aca="false">I50/120%</f>
        <v>287.967948482661</v>
      </c>
      <c r="J51" s="52" t="n">
        <f aca="true">TABLE($I$31,$P$8,$I51,$P$7,J$31)</f>
        <v>2381877.8534769</v>
      </c>
      <c r="K51" s="52" t="n">
        <f aca="true">TABLE($I$31,$P$8,$I51,$P$7,K$31)</f>
        <v>1371872.10646388</v>
      </c>
      <c r="L51" s="52" t="n">
        <f aca="true">TABLE($I$31,$P$8,$I51,$P$7,L$31)</f>
        <v>698534.941788534</v>
      </c>
      <c r="M51" s="52" t="n">
        <f aca="true">TABLE($I$31,$P$8,$I51,$P$7,M$31)</f>
        <v>249643.498671637</v>
      </c>
      <c r="N51" s="52" t="n">
        <f aca="true">TABLE($I$31,$P$8,$I51,$P$7,N$31)</f>
        <v>-49617.4634062939</v>
      </c>
      <c r="O51" s="52" t="n">
        <f aca="true">TABLE($I$31,$P$8,$I51,$P$7,O$31)</f>
        <v>-249124.771458248</v>
      </c>
      <c r="P51" s="52" t="n">
        <f aca="true">TABLE($I$31,$P$8,$I51,$P$7,P$31)</f>
        <v>-382129.643492884</v>
      </c>
      <c r="Q51" s="53" t="n">
        <f aca="true">TABLE($I$31,$P$8,$I51,$P$7,Q$31)</f>
        <v>-470799.558182642</v>
      </c>
    </row>
    <row r="52" customFormat="false" ht="14.25" hidden="false" customHeight="false" outlineLevel="0" collapsed="false">
      <c r="E52" s="35" t="n">
        <v>0.51</v>
      </c>
      <c r="F52" s="38" t="n">
        <f aca="true">TABLE(F$30,$P$22,$E52)</f>
        <v>10055619.9115352</v>
      </c>
    </row>
    <row r="53" customFormat="false" ht="14.25" hidden="false" customHeight="false" outlineLevel="0" collapsed="false">
      <c r="E53" s="35" t="n">
        <v>0.52</v>
      </c>
      <c r="F53" s="38" t="n">
        <f aca="true">TABLE(F$30,$P$22,$E53)</f>
        <v>10037780.0144212</v>
      </c>
    </row>
    <row r="54" customFormat="false" ht="14.25" hidden="false" customHeight="false" outlineLevel="0" collapsed="false">
      <c r="E54" s="35" t="n">
        <v>0.53</v>
      </c>
      <c r="F54" s="38" t="n">
        <f aca="true">TABLE(F$30,$P$22,$E54)</f>
        <v>10019940.1173073</v>
      </c>
    </row>
    <row r="55" customFormat="false" ht="14.25" hidden="false" customHeight="false" outlineLevel="0" collapsed="false">
      <c r="E55" s="35" t="n">
        <v>0.54</v>
      </c>
      <c r="F55" s="38" t="n">
        <f aca="true">TABLE(F$30,$P$22,$E55)</f>
        <v>10002100.2201933</v>
      </c>
    </row>
    <row r="56" customFormat="false" ht="14.25" hidden="false" customHeight="false" outlineLevel="0" collapsed="false">
      <c r="E56" s="35" t="n">
        <v>0.55</v>
      </c>
      <c r="F56" s="38" t="n">
        <f aca="true">TABLE(F$30,$P$22,$E56)</f>
        <v>9984260.32307932</v>
      </c>
    </row>
    <row r="57" customFormat="false" ht="14.25" hidden="false" customHeight="false" outlineLevel="0" collapsed="false">
      <c r="E57" s="35" t="n">
        <v>0.56</v>
      </c>
      <c r="F57" s="38" t="n">
        <f aca="true">TABLE(F$30,$P$22,$E57)</f>
        <v>9966420.42596535</v>
      </c>
    </row>
    <row r="58" customFormat="false" ht="14.25" hidden="false" customHeight="false" outlineLevel="0" collapsed="false">
      <c r="E58" s="35" t="n">
        <v>0.57</v>
      </c>
      <c r="F58" s="38" t="n">
        <f aca="true">TABLE(F$30,$P$22,$E58)</f>
        <v>9948580.52885138</v>
      </c>
    </row>
    <row r="59" customFormat="false" ht="14.25" hidden="false" customHeight="false" outlineLevel="0" collapsed="false">
      <c r="E59" s="35" t="n">
        <v>0.58</v>
      </c>
      <c r="F59" s="38" t="n">
        <f aca="true">TABLE(F$30,$P$22,$E59)</f>
        <v>9930740.63173741</v>
      </c>
    </row>
    <row r="60" customFormat="false" ht="14.25" hidden="false" customHeight="false" outlineLevel="0" collapsed="false">
      <c r="E60" s="35" t="n">
        <v>0.59</v>
      </c>
      <c r="F60" s="38" t="n">
        <f aca="true">TABLE(F$30,$P$22,$E60)</f>
        <v>9912900.73462344</v>
      </c>
    </row>
    <row r="61" customFormat="false" ht="14.25" hidden="false" customHeight="false" outlineLevel="0" collapsed="false">
      <c r="E61" s="35" t="n">
        <v>0.6</v>
      </c>
      <c r="F61" s="38" t="n">
        <f aca="true">TABLE(F$30,$P$22,$E61)</f>
        <v>9895060.83750947</v>
      </c>
    </row>
    <row r="62" customFormat="false" ht="14.25" hidden="false" customHeight="false" outlineLevel="0" collapsed="false">
      <c r="E62" s="35" t="n">
        <v>0.61</v>
      </c>
      <c r="F62" s="38" t="n">
        <f aca="true">TABLE(F$30,$P$22,$E62)</f>
        <v>9877220.9403955</v>
      </c>
    </row>
    <row r="63" customFormat="false" ht="14.25" hidden="false" customHeight="false" outlineLevel="0" collapsed="false">
      <c r="E63" s="35" t="n">
        <v>0.62</v>
      </c>
      <c r="F63" s="38" t="n">
        <f aca="true">TABLE(F$30,$P$22,$E63)</f>
        <v>9859381.04328154</v>
      </c>
    </row>
    <row r="64" customFormat="false" ht="14.25" hidden="false" customHeight="false" outlineLevel="0" collapsed="false">
      <c r="E64" s="35" t="n">
        <v>0.63</v>
      </c>
      <c r="F64" s="38" t="n">
        <f aca="true">TABLE(F$30,$P$22,$E64)</f>
        <v>9841541.14616757</v>
      </c>
    </row>
    <row r="65" customFormat="false" ht="14.25" hidden="false" customHeight="false" outlineLevel="0" collapsed="false">
      <c r="E65" s="35" t="n">
        <v>0.64</v>
      </c>
      <c r="F65" s="38" t="n">
        <f aca="true">TABLE(F$30,$P$22,$E65)</f>
        <v>9823701.2490536</v>
      </c>
    </row>
    <row r="66" customFormat="false" ht="14.25" hidden="false" customHeight="false" outlineLevel="0" collapsed="false">
      <c r="E66" s="35" t="n">
        <v>0.65</v>
      </c>
      <c r="F66" s="38" t="n">
        <f aca="true">TABLE(F$30,$P$22,$E66)</f>
        <v>9805861.35193963</v>
      </c>
    </row>
    <row r="67" customFormat="false" ht="14.25" hidden="false" customHeight="false" outlineLevel="0" collapsed="false">
      <c r="E67" s="35" t="n">
        <v>0.66</v>
      </c>
      <c r="F67" s="38" t="n">
        <f aca="true">TABLE(F$30,$P$22,$E67)</f>
        <v>9788021.45482566</v>
      </c>
    </row>
    <row r="68" customFormat="false" ht="14.25" hidden="false" customHeight="false" outlineLevel="0" collapsed="false">
      <c r="E68" s="35" t="n">
        <v>0.67</v>
      </c>
      <c r="F68" s="38" t="n">
        <f aca="true">TABLE(F$30,$P$22,$E68)</f>
        <v>9770181.55771169</v>
      </c>
    </row>
    <row r="69" customFormat="false" ht="14.25" hidden="false" customHeight="false" outlineLevel="0" collapsed="false">
      <c r="E69" s="35" t="n">
        <v>0.68</v>
      </c>
      <c r="F69" s="38" t="n">
        <f aca="true">TABLE(F$30,$P$22,$E69)</f>
        <v>9752341.66059772</v>
      </c>
    </row>
    <row r="70" customFormat="false" ht="14.25" hidden="false" customHeight="false" outlineLevel="0" collapsed="false">
      <c r="E70" s="35" t="n">
        <v>0.69</v>
      </c>
      <c r="F70" s="38" t="n">
        <f aca="true">TABLE(F$30,$P$22,$E70)</f>
        <v>9734501.76348376</v>
      </c>
    </row>
    <row r="71" customFormat="false" ht="14.25" hidden="false" customHeight="false" outlineLevel="0" collapsed="false">
      <c r="E71" s="35" t="n">
        <v>0.7</v>
      </c>
      <c r="F71" s="38" t="n">
        <f aca="true">TABLE(F$30,$P$22,$E71)</f>
        <v>9716661.86636979</v>
      </c>
    </row>
    <row r="72" customFormat="false" ht="14.25" hidden="false" customHeight="false" outlineLevel="0" collapsed="false">
      <c r="E72" s="35" t="n">
        <v>0.71</v>
      </c>
      <c r="F72" s="38" t="n">
        <f aca="true">TABLE(F$30,$P$22,$E72)</f>
        <v>9698821.96925582</v>
      </c>
    </row>
    <row r="73" customFormat="false" ht="14.25" hidden="false" customHeight="false" outlineLevel="0" collapsed="false">
      <c r="E73" s="35" t="n">
        <v>0.72</v>
      </c>
      <c r="F73" s="38" t="n">
        <f aca="true">TABLE(F$30,$P$22,$E73)</f>
        <v>9680982.07214185</v>
      </c>
    </row>
    <row r="74" customFormat="false" ht="14.25" hidden="false" customHeight="false" outlineLevel="0" collapsed="false">
      <c r="E74" s="35" t="n">
        <v>0.73</v>
      </c>
      <c r="F74" s="38" t="n">
        <f aca="true">TABLE(F$30,$P$22,$E74)</f>
        <v>9663142.17502788</v>
      </c>
    </row>
    <row r="75" customFormat="false" ht="14.25" hidden="false" customHeight="false" outlineLevel="0" collapsed="false">
      <c r="E75" s="35" t="n">
        <v>0.74</v>
      </c>
      <c r="F75" s="38" t="n">
        <f aca="true">TABLE(F$30,$P$22,$E75)</f>
        <v>9645302.27791391</v>
      </c>
    </row>
    <row r="76" customFormat="false" ht="14.25" hidden="false" customHeight="false" outlineLevel="0" collapsed="false">
      <c r="E76" s="35" t="n">
        <v>0.75</v>
      </c>
      <c r="F76" s="38" t="n">
        <f aca="true">TABLE(F$30,$P$22,$E76)</f>
        <v>9627462.38079994</v>
      </c>
    </row>
    <row r="77" customFormat="false" ht="14.25" hidden="false" customHeight="false" outlineLevel="0" collapsed="false">
      <c r="E77" s="35" t="n">
        <v>0.76</v>
      </c>
      <c r="F77" s="38" t="n">
        <f aca="true">TABLE(F$30,$P$22,$E77)</f>
        <v>9609622.48368597</v>
      </c>
    </row>
    <row r="78" customFormat="false" ht="14.25" hidden="false" customHeight="false" outlineLevel="0" collapsed="false">
      <c r="E78" s="35" t="n">
        <v>0.77</v>
      </c>
      <c r="F78" s="38" t="n">
        <f aca="true">TABLE(F$30,$P$22,$E78)</f>
        <v>9591782.586572</v>
      </c>
    </row>
    <row r="79" customFormat="false" ht="14.25" hidden="false" customHeight="false" outlineLevel="0" collapsed="false">
      <c r="E79" s="35" t="n">
        <v>0.78</v>
      </c>
      <c r="F79" s="38" t="n">
        <f aca="true">TABLE(F$30,$P$22,$E79)</f>
        <v>9573942.68945804</v>
      </c>
    </row>
    <row r="80" customFormat="false" ht="14.25" hidden="false" customHeight="false" outlineLevel="0" collapsed="false">
      <c r="E80" s="35" t="n">
        <v>0.79</v>
      </c>
      <c r="F80" s="38" t="n">
        <f aca="true">TABLE(F$30,$P$22,$E80)</f>
        <v>9556102.79234407</v>
      </c>
    </row>
    <row r="81" customFormat="false" ht="14.25" hidden="false" customHeight="false" outlineLevel="0" collapsed="false">
      <c r="E81" s="35" t="n">
        <v>0.8</v>
      </c>
      <c r="F81" s="38" t="n">
        <f aca="true">TABLE(F$30,$P$22,$E81)</f>
        <v>9538262.8952301</v>
      </c>
    </row>
    <row r="82" customFormat="false" ht="14.25" hidden="false" customHeight="false" outlineLevel="0" collapsed="false">
      <c r="E82" s="35" t="n">
        <v>0.81</v>
      </c>
      <c r="F82" s="38" t="n">
        <f aca="true">TABLE(F$30,$P$22,$E82)</f>
        <v>9520422.99811613</v>
      </c>
    </row>
    <row r="83" customFormat="false" ht="14.25" hidden="false" customHeight="false" outlineLevel="0" collapsed="false">
      <c r="E83" s="35" t="n">
        <v>0.82</v>
      </c>
      <c r="F83" s="38" t="n">
        <f aca="true">TABLE(F$30,$P$22,$E83)</f>
        <v>9502583.10100216</v>
      </c>
    </row>
    <row r="84" customFormat="false" ht="14.25" hidden="false" customHeight="false" outlineLevel="0" collapsed="false">
      <c r="E84" s="35" t="n">
        <v>0.83</v>
      </c>
      <c r="F84" s="38" t="n">
        <f aca="true">TABLE(F$30,$P$22,$E84)</f>
        <v>9484743.20388819</v>
      </c>
    </row>
    <row r="85" customFormat="false" ht="14.25" hidden="false" customHeight="false" outlineLevel="0" collapsed="false">
      <c r="E85" s="35" t="n">
        <v>0.84</v>
      </c>
      <c r="F85" s="38" t="n">
        <f aca="true">TABLE(F$30,$P$22,$E85)</f>
        <v>9466903.30677422</v>
      </c>
    </row>
    <row r="86" customFormat="false" ht="14.25" hidden="false" customHeight="false" outlineLevel="0" collapsed="false">
      <c r="E86" s="35" t="n">
        <v>0.85</v>
      </c>
      <c r="F86" s="38" t="n">
        <f aca="true">TABLE(F$30,$P$22,$E86)</f>
        <v>9449063.40966025</v>
      </c>
    </row>
    <row r="87" customFormat="false" ht="14.25" hidden="false" customHeight="false" outlineLevel="0" collapsed="false">
      <c r="E87" s="35" t="n">
        <v>0.86</v>
      </c>
      <c r="F87" s="38" t="n">
        <f aca="true">TABLE(F$30,$P$22,$E87)</f>
        <v>9431223.51254629</v>
      </c>
    </row>
    <row r="88" customFormat="false" ht="14.25" hidden="false" customHeight="false" outlineLevel="0" collapsed="false">
      <c r="E88" s="35" t="n">
        <v>0.87</v>
      </c>
      <c r="F88" s="38" t="n">
        <f aca="true">TABLE(F$30,$P$22,$E88)</f>
        <v>9413383.61543232</v>
      </c>
    </row>
    <row r="89" customFormat="false" ht="14.25" hidden="false" customHeight="false" outlineLevel="0" collapsed="false">
      <c r="E89" s="35" t="n">
        <v>0.880000000000001</v>
      </c>
      <c r="F89" s="38" t="n">
        <f aca="true">TABLE(F$30,$P$22,$E89)</f>
        <v>9395543.71831835</v>
      </c>
    </row>
    <row r="90" customFormat="false" ht="14.25" hidden="false" customHeight="false" outlineLevel="0" collapsed="false">
      <c r="E90" s="35" t="n">
        <v>0.890000000000001</v>
      </c>
      <c r="F90" s="38" t="n">
        <f aca="true">TABLE(F$30,$P$22,$E90)</f>
        <v>9377703.82120438</v>
      </c>
    </row>
    <row r="91" customFormat="false" ht="14.25" hidden="false" customHeight="false" outlineLevel="0" collapsed="false">
      <c r="E91" s="35" t="n">
        <v>0.900000000000001</v>
      </c>
      <c r="F91" s="38" t="n">
        <f aca="true">TABLE(F$30,$P$22,$E91)</f>
        <v>9359863.92409041</v>
      </c>
    </row>
    <row r="92" customFormat="false" ht="14.25" hidden="false" customHeight="false" outlineLevel="0" collapsed="false">
      <c r="E92" s="35" t="n">
        <v>0.910000000000001</v>
      </c>
      <c r="F92" s="38" t="n">
        <f aca="true">TABLE(F$30,$P$22,$E92)</f>
        <v>9342024.02697644</v>
      </c>
    </row>
    <row r="93" customFormat="false" ht="14.25" hidden="false" customHeight="false" outlineLevel="0" collapsed="false">
      <c r="E93" s="35" t="n">
        <v>0.920000000000001</v>
      </c>
      <c r="F93" s="38" t="n">
        <f aca="true">TABLE(F$30,$P$22,$E93)</f>
        <v>9324184.12986247</v>
      </c>
    </row>
    <row r="94" customFormat="false" ht="14.25" hidden="false" customHeight="false" outlineLevel="0" collapsed="false">
      <c r="E94" s="35" t="n">
        <v>0.930000000000001</v>
      </c>
      <c r="F94" s="38" t="n">
        <f aca="true">TABLE(F$30,$P$22,$E94)</f>
        <v>9306344.2327485</v>
      </c>
    </row>
    <row r="95" customFormat="false" ht="14.25" hidden="false" customHeight="false" outlineLevel="0" collapsed="false">
      <c r="E95" s="35" t="n">
        <v>0.940000000000001</v>
      </c>
      <c r="F95" s="38" t="n">
        <f aca="true">TABLE(F$30,$P$22,$E95)</f>
        <v>9288504.33563453</v>
      </c>
    </row>
    <row r="96" customFormat="false" ht="14.25" hidden="false" customHeight="false" outlineLevel="0" collapsed="false">
      <c r="E96" s="35" t="n">
        <v>0.950000000000001</v>
      </c>
      <c r="F96" s="38" t="n">
        <f aca="true">TABLE(F$30,$P$22,$E96)</f>
        <v>9270664.43852056</v>
      </c>
    </row>
    <row r="97" customFormat="false" ht="14.25" hidden="false" customHeight="false" outlineLevel="0" collapsed="false">
      <c r="E97" s="35" t="n">
        <v>0.960000000000001</v>
      </c>
      <c r="F97" s="38" t="n">
        <f aca="true">TABLE(F$30,$P$22,$E97)</f>
        <v>9252824.54140659</v>
      </c>
    </row>
    <row r="98" customFormat="false" ht="14.25" hidden="false" customHeight="false" outlineLevel="0" collapsed="false">
      <c r="E98" s="35" t="n">
        <v>0.970000000000001</v>
      </c>
      <c r="F98" s="38" t="n">
        <f aca="true">TABLE(F$30,$P$22,$E98)</f>
        <v>9234984.64429263</v>
      </c>
    </row>
    <row r="99" customFormat="false" ht="14.25" hidden="false" customHeight="false" outlineLevel="0" collapsed="false">
      <c r="E99" s="35" t="n">
        <v>0.980000000000001</v>
      </c>
      <c r="F99" s="38" t="n">
        <f aca="true">TABLE(F$30,$P$22,$E99)</f>
        <v>9217144.74717866</v>
      </c>
    </row>
    <row r="100" customFormat="false" ht="14.25" hidden="false" customHeight="false" outlineLevel="0" collapsed="false">
      <c r="E100" s="35" t="n">
        <v>0.990000000000001</v>
      </c>
      <c r="F100" s="38" t="n">
        <f aca="true">TABLE(F$30,$P$22,$E100)</f>
        <v>9199304.85006469</v>
      </c>
    </row>
    <row r="101" customFormat="false" ht="14.25" hidden="false" customHeight="false" outlineLevel="0" collapsed="false">
      <c r="E101" s="42" t="n">
        <v>1</v>
      </c>
      <c r="F101" s="43" t="n">
        <f aca="true">TABLE(F$30,$P$22,$E101)</f>
        <v>9181464.95295072</v>
      </c>
    </row>
  </sheetData>
  <mergeCells count="4">
    <mergeCell ref="J22:M22"/>
    <mergeCell ref="H24:H28"/>
    <mergeCell ref="J30:Q30"/>
    <mergeCell ref="H32:H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2015-01-11T16:06:24Z</dcterms:created>
  <dc:creator>Dejan Lavbič</dc:creator>
  <dc:description/>
  <dc:language>en-US</dc:language>
  <cp:lastModifiedBy/>
  <dcterms:modified xsi:type="dcterms:W3CDTF">2026-03-29T14:17:47Z</dcterms:modified>
  <cp:revision>1</cp:revision>
  <dc:subject>AIMS</dc:subject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